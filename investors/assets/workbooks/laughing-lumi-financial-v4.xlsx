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df3ffcd45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d2fded5153545a0"/>
    <x:sheet xmlns:r="http://schemas.openxmlformats.org/officeDocument/2006/relationships" name="ASSUMPTIONS" sheetId="2" r:id="Rc31b25506e364fec"/>
    <x:sheet xmlns:r="http://schemas.openxmlformats.org/officeDocument/2006/relationships" name="BUDGET" sheetId="3" r:id="R365b57ef6d614d80"/>
    <x:sheet xmlns:r="http://schemas.openxmlformats.org/officeDocument/2006/relationships" name="MONTHLY_PLAN" sheetId="4" r:id="Rb7e36ff6566b4afe"/>
    <x:sheet xmlns:r="http://schemas.openxmlformats.org/officeDocument/2006/relationships" name="CAPITAL_STRUCTURES" sheetId="5" r:id="R9fffb44c15544787"/>
    <x:sheet xmlns:r="http://schemas.openxmlformats.org/officeDocument/2006/relationships" name="SOURCES" sheetId="6" r:id="Rc1718f20f08f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749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4b81d4efb4d0f" /><Relationship Type="http://schemas.openxmlformats.org/officeDocument/2006/relationships/theme" Target="/xl/theme/theme1.xml" Id="Re2c9d799a2e04827" /><Relationship Type="http://schemas.openxmlformats.org/officeDocument/2006/relationships/sharedStrings" Target="/xl/sharedStrings.xml" Id="R3a735388929d46b0" /><Relationship Type="http://schemas.openxmlformats.org/officeDocument/2006/relationships/worksheet" Target="/xl/worksheets/sheet1.xml" Id="Rcd2fded5153545a0" /><Relationship Type="http://schemas.openxmlformats.org/officeDocument/2006/relationships/worksheet" Target="/xl/worksheets/sheet2.xml" Id="Rc31b25506e364fec" /><Relationship Type="http://schemas.openxmlformats.org/officeDocument/2006/relationships/worksheet" Target="/xl/worksheets/sheet3.xml" Id="R365b57ef6d614d80" /><Relationship Type="http://schemas.openxmlformats.org/officeDocument/2006/relationships/worksheet" Target="/xl/worksheets/sheet4.xml" Id="Rb7e36ff6566b4afe" /><Relationship Type="http://schemas.openxmlformats.org/officeDocument/2006/relationships/worksheet" Target="/xl/worksheets/sheet5.xml" Id="R9fffb44c15544787" /><Relationship Type="http://schemas.openxmlformats.org/officeDocument/2006/relationships/worksheet" Target="/xl/worksheets/sheet6.xml" Id="Rc1718f20f08f43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9" hidden="0" customWidth="1"/>
    <x:col min="3" max="3" width="56" hidden="0" customWidth="1"/>
  </x:cols>
  <x:sheetData>
    <x:row r="1" ht="34" customHeight="1">
      <x:c r="A1" s="4" t="str">
        <x:v>METRIC</x:v>
      </x:c>
      <x:c r="B1" s="4" t="str">
        <x:v>PLAN / EUR</x:v>
      </x:c>
      <x:c r="C1" s="4" t="str">
        <x:v>WHAT THE AMOUNT REPRESENTS</x:v>
      </x:c>
    </x:row>
    <x:row r="2" ht="21" customHeight="1">
      <x:c r="A2" t="str">
        <x:v>Investment envelope</x:v>
      </x:c>
      <x:c r="B2" s="8" t="n">
        <x:f>B3+B4</x:f>
        <x:v>400000</x:v>
      </x:c>
      <x:c r="C2" t="str">
        <x:v>Capital sourced by one or more investors; not proof of committed funds</x:v>
      </x:c>
    </x:row>
    <x:row r="3" ht="21" customHeight="1">
      <x:c r="A3" t="str">
        <x:v>Core execution programme</x:v>
      </x:c>
      <x:c r="B3" s="8" t="n">
        <x:v>250000</x:v>
      </x:c>
      <x:c r="C3" t="str">
        <x:v>Illustrative first tranche; M1 to M12</x:v>
      </x:c>
    </x:row>
    <x:row r="4" ht="21" customHeight="1">
      <x:c r="A4" t="str">
        <x:v>Milestone-gated expansion</x:v>
      </x:c>
      <x:c r="B4" s="8" t="n">
        <x:v>150000</x:v>
      </x:c>
      <x:c r="C4" t="str">
        <x:v>Second tranche subject to execution gates</x:v>
      </x:c>
    </x:row>
    <x:row r="5" ht="21" customHeight="1">
      <x:c r="A5" t="str">
        <x:v>Founder count</x:v>
      </x:c>
      <x:c r="B5" s="8" t="n">
        <x:v>5</x:v>
      </x:c>
      <x:c r="C5" t="str">
        <x:v>Five named co-founders; roles not inferred</x:v>
      </x:c>
    </x:row>
    <x:row r="6" ht="21" customHeight="1">
      <x:c r="A6" t="str">
        <x:v>Monthly remuneration per founder</x:v>
      </x:c>
      <x:c r="B6" s="8" t="n">
        <x:v>2500</x:v>
      </x:c>
      <x:c r="C6" t="str">
        <x:v>User-specified remuneration; modelled gross</x:v>
      </x:c>
    </x:row>
    <x:row r="7" ht="21" customHeight="1">
      <x:c r="A7" t="str">
        <x:v>Total founder cost for 12 months</x:v>
      </x:c>
      <x:c r="B7" s="8" t="n">
        <x:f>B5*B6*12</x:f>
        <x:v>150000</x:v>
      </x:c>
      <x:c r="C7" t="str">
        <x:v>No founder double count across investors</x:v>
      </x:c>
    </x:row>
    <x:row r="8" ht="21" customHeight="1">
      <x:c r="A8" t="str">
        <x:v>Payroll/insurance provision</x:v>
      </x:c>
      <x:c r="B8" s="8" t="n">
        <x:v>35000</x:v>
      </x:c>
      <x:c r="C8" t="str">
        <x:v>Planning buffer, not statutory final liability</x:v>
      </x:c>
    </x:row>
    <x:row r="9" ht="21" customHeight="1">
      <x:c r="A9" t="str">
        <x:v>Delivery spend</x:v>
      </x:c>
      <x:c r="B9" s="8" t="n">
        <x:f>SUM(BUDGET!D2:D11)</x:f>
        <x:v>380000</x:v>
      </x:c>
      <x:c r="C9" t="str">
        <x:v>Excludes contingency held</x:v>
      </x:c>
    </x:row>
    <x:row r="10" ht="21" customHeight="1">
      <x:c r="A10" t="str">
        <x:v>Held reserve</x:v>
      </x:c>
      <x:c r="B10" s="8" t="n">
        <x:f>BUDGET!D12</x:f>
        <x:v>20000</x:v>
      </x:c>
      <x:c r="C10" t="str">
        <x:v>Approval controlled</x:v>
      </x:c>
    </x:row>
    <x:row r="11" ht="21" customHeight="1">
      <x:c r="A11" t="str">
        <x:v>Total uses</x:v>
      </x:c>
      <x:c r="B11" s="8" t="n">
        <x:f>SUM(B9:B10)</x:f>
        <x:v>400000</x:v>
      </x:c>
      <x:c r="C11" t="str">
        <x:v>Must equal full investment envelope</x:v>
      </x:c>
    </x:row>
    <x:row r="12" ht="21" customHeight="1">
      <x:c r="A12" t="str">
        <x:v>Budget tie-out</x:v>
      </x:c>
      <x:c r="B12" s="8" t="n">
        <x:f>B2-B11</x:f>
        <x:v>0</x:v>
      </x:c>
      <x:c r="C12" t="str">
        <x:v>Must be zero</x:v>
      </x:c>
    </x:row>
    <x:row r="13" ht="21" customHeight="1">
      <x:c r="A13" t="str">
        <x:v>Core / expansion distinction</x:v>
      </x:c>
      <x:c r="B13" t="str">
        <x:v>250000 / 150000</x:v>
      </x:c>
      <x:c r="C13" t="str">
        <x:v>Investor ticket amounts not allocated a second salary</x:v>
      </x:c>
    </x:row>
    <x:row r="14" ht="21" customHeight="1">
      <x:c r="A14" t="str">
        <x:v>Timeline</x:v>
      </x:c>
      <x:c r="B14" t="str">
        <x:v>M1 to M12</x:v>
      </x:c>
      <x:c r="C14" t="str">
        <x:v>M1 begins after first cleared funding and approved start</x:v>
      </x:c>
    </x:row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9" hidden="0" customWidth="1"/>
    <x:col min="3" max="3" width="58" hidden="0" customWidth="1"/>
  </x:cols>
  <x:sheetData>
    <x:row r="1" ht="34" customHeight="1">
      <x:c r="A1" s="4" t="str">
        <x:v>DRIVER</x:v>
      </x:c>
      <x:c r="B1" s="4" t="str">
        <x:v>VALUE</x:v>
      </x:c>
      <x:c r="C1" s="4" t="str">
        <x:v>UNIT / SOURCE STATUS</x:v>
      </x:c>
    </x:row>
    <x:row r="2" ht="21" customHeight="1">
      <x:c r="A2" t="str">
        <x:v>Co-founder count</x:v>
      </x:c>
      <x:c r="B2" t="n">
        <x:v>5</x:v>
      </x:c>
      <x:c r="C2" t="str">
        <x:v>User-specified</x:v>
      </x:c>
    </x:row>
    <x:row r="3" ht="21" customHeight="1">
      <x:c r="A3" t="str">
        <x:v>Remuneration per month</x:v>
      </x:c>
      <x:c r="B3" t="n">
        <x:v>2500</x:v>
      </x:c>
      <x:c r="C3" t="str">
        <x:v>EUR, gross model assumption / user-specified</x:v>
      </x:c>
    </x:row>
    <x:row r="4" ht="21" customHeight="1">
      <x:c r="A4" t="str">
        <x:v>Months</x:v>
      </x:c>
      <x:c r="B4" t="n">
        <x:v>12</x:v>
      </x:c>
      <x:c r="C4" t="str">
        <x:v>From funding-close M1</x:v>
      </x:c>
    </x:row>
    <x:row r="5" ht="21" customHeight="1">
      <x:c r="A5" t="str">
        <x:v>Employer provision</x:v>
      </x:c>
      <x:c r="B5" t="n">
        <x:v>35000</x:v>
      </x:c>
      <x:c r="C5" t="str">
        <x:v>EUR plan: 23.3% of remuneration; Suomi.fi 20-25% overhead indication</x:v>
      </x:c>
    </x:row>
    <x:row r="6" ht="21" customHeight="1">
      <x:c r="A6" t="str">
        <x:v>Core financing</x:v>
      </x:c>
      <x:c r="B6" t="n">
        <x:v>250000</x:v>
      </x:c>
      <x:c r="C6" t="str">
        <x:v>EUR scenario, not received</x:v>
      </x:c>
    </x:row>
    <x:row r="7" ht="21" customHeight="1">
      <x:c r="A7" t="str">
        <x:v>Expansion financing</x:v>
      </x:c>
      <x:c r="B7" t="n">
        <x:v>150000</x:v>
      </x:c>
      <x:c r="C7" t="str">
        <x:v>EUR stage-gated scenario, not received</x:v>
      </x:c>
    </x:row>
    <x:row r="8" ht="21" customHeight="1">
      <x:c r="A8" t="str">
        <x:v>Reservation held</x:v>
      </x:c>
      <x:c r="B8" t="n">
        <x:v>20000</x:v>
      </x:c>
      <x:c r="C8" t="str">
        <x:v>EUR not spent</x:v>
      </x:c>
    </x:row>
    <x:row r="9" ht="21" customHeight="1">
      <x:c r="A9" t="str">
        <x:v>Contractor engineering day rate</x:v>
      </x:c>
      <x:c r="B9" t="n">
        <x:v>500</x:v>
      </x:c>
      <x:c r="C9" t="str">
        <x:v>EUR/day planning assumption, procurement quote required</x:v>
      </x:c>
    </x:row>
    <x:row r="10" ht="21" customHeight="1">
      <x:c r="A10" t="str">
        <x:v>Engineering delivery days</x:v>
      </x:c>
      <x:c r="B10" t="n">
        <x:v>100</x:v>
      </x:c>
      <x:c r="C10" t="str">
        <x:v>Days assumed; scope / acceptance tests required</x:v>
      </x:c>
    </x:row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  <x:col min="6" max="6" width="19" hidden="0" customWidth="1"/>
  </x:cols>
  <x:sheetData>
    <x:row r="1" ht="34" customHeight="1">
      <x:c r="A1" s="4" t="str">
        <x:v>CATEGORY</x:v>
      </x:c>
      <x:c r="B1" s="4" t="str">
        <x:v>CORE (EUR)</x:v>
      </x:c>
      <x:c r="C1" s="4" t="str">
        <x:v>EXPANSION (EUR)</x:v>
      </x:c>
      <x:c r="D1" s="4" t="str">
        <x:v>COMBINED (EUR)</x:v>
      </x:c>
      <x:c r="E1" s="4" t="str">
        <x:v>BASIS</x:v>
      </x:c>
      <x:c r="F1" s="4" t="str">
        <x:v>Evidence</x:v>
      </x:c>
    </x:row>
    <x:row r="2" ht="21" customHeight="1">
      <x:c r="A2" t="str">
        <x:v>Five co-founders — remuneration</x:v>
      </x:c>
      <x:c r="B2" s="8" t="n">
        <x:f>ASSUMPTIONS!B2*ASSUMPTIONS!B3*ASSUMPTIONS!B4</x:f>
        <x:v>150000</x:v>
      </x:c>
      <x:c r="C2" s="8" t="n">
        <x:v>0</x:v>
      </x:c>
      <x:c r="D2" s="8" t="n">
        <x:f>SUM(B2:C2)</x:f>
        <x:v>150000</x:v>
      </x:c>
      <x:c r="E2" t="str">
        <x:v>5 × €2,500 gross/month × 12 months; founder-approved planning rate.</x:v>
      </x:c>
      <x:c r="F2" t="str">
        <x:v>USER</x:v>
      </x:c>
    </x:row>
    <x:row r="3" ht="21" customHeight="1">
      <x:c r="A3" t="str">
        <x:v>Employer / insurance provision</x:v>
      </x:c>
      <x:c r="B3" s="8" t="n">
        <x:v>30000</x:v>
      </x:c>
      <x:c r="C3" s="8" t="n">
        <x:v>5000</x:v>
      </x:c>
      <x:c r="D3" s="8" t="n">
        <x:f>SUM(B3:C3)</x:f>
        <x:v>35000</x:v>
      </x:c>
      <x:c r="E3" t="str">
        <x:v>23.3% planning allowance on remuneration; classification-specific actuals.</x:v>
      </x:c>
      <x:c r="F3" t="str">
        <x:v>PLANNING / EXTERNAL CONTEXT</x:v>
      </x:c>
    </x:row>
    <x:row r="4" ht="21" customHeight="1">
      <x:c r="A4" t="str">
        <x:v>Product &amp; mobile engineering</x:v>
      </x:c>
      <x:c r="B4" s="8" t="n">
        <x:v>24000</x:v>
      </x:c>
      <x:c r="C4" s="8" t="n">
        <x:v>26000</x:v>
      </x:c>
      <x:c r="D4" s="8" t="n">
        <x:f>SUM(B4:C4)</x:f>
        <x:v>50000</x:v>
      </x:c>
      <x:c r="E4" t="str">
        <x:v>Indicative 100 specialist delivery days × €500/day; quote required.</x:v>
      </x:c>
      <x:c r="F4" t="str">
        <x:v>PLANNING / EXTERNAL CONTEXT</x:v>
      </x:c>
    </x:row>
    <x:row r="5" ht="21" customHeight="1">
      <x:c r="A5" t="str">
        <x:v>Voice AI &amp; platform operations</x:v>
      </x:c>
      <x:c r="B5" s="8" t="n">
        <x:v>10000</x:v>
      </x:c>
      <x:c r="C5" s="8" t="n">
        <x:v>15000</x:v>
      </x:c>
      <x:c r="D5" s="8" t="n">
        <x:f>SUM(B5:C5)</x:f>
        <x:v>25000</x:v>
      </x:c>
      <x:c r="E5" t="str">
        <x:v>Usage-controlled annual cap; ASR/TTS/LLM/hosting selected after profiling.</x:v>
      </x:c>
      <x:c r="F5" t="str">
        <x:v>PLANNING / EXTERNAL CONTEXT</x:v>
      </x:c>
    </x:row>
    <x:row r="6" ht="21" customHeight="1">
      <x:c r="A6" t="str">
        <x:v>Interaction &amp; content design</x:v>
      </x:c>
      <x:c r="B6" s="8" t="n">
        <x:v>8000</x:v>
      </x:c>
      <x:c r="C6" s="8" t="n">
        <x:v>17000</x:v>
      </x:c>
      <x:c r="D6" s="8" t="n">
        <x:f>SUM(B6:C6)</x:f>
        <x:v>25000</x:v>
      </x:c>
      <x:c r="E6" t="str">
        <x:v>5 content/UX work packages × €5,000 (illustrative).</x:v>
      </x:c>
      <x:c r="F6" t="str">
        <x:v>PLANNING / EXTERNAL CONTEXT</x:v>
      </x:c>
    </x:row>
    <x:row r="7" ht="21" customHeight="1">
      <x:c r="A7" t="str">
        <x:v>Child safety &amp; product evidence</x:v>
      </x:c>
      <x:c r="B7" s="8" t="n">
        <x:v>10000</x:v>
      </x:c>
      <x:c r="C7" s="8" t="n">
        <x:v>20000</x:v>
      </x:c>
      <x:c r="D7" s="8" t="n">
        <x:f>SUM(B7:C7)</x:f>
        <x:v>30000</x:v>
      </x:c>
      <x:c r="E7" t="str">
        <x:v>3 gated research, safeguarding and expert-validation packages × €10,000.</x:v>
      </x:c>
      <x:c r="F7" t="str">
        <x:v>PLANNING / EXTERNAL CONTEXT</x:v>
      </x:c>
    </x:row>
    <x:row r="8" ht="21" customHeight="1">
      <x:c r="A8" t="str">
        <x:v>Market &amp; partner validation</x:v>
      </x:c>
      <x:c r="B8" s="8" t="n">
        <x:v>4000</x:v>
      </x:c>
      <x:c r="C8" s="8" t="n">
        <x:v>21000</x:v>
      </x:c>
      <x:c r="D8" s="8" t="n">
        <x:f>SUM(B8:C8)</x:f>
        <x:v>25000</x:v>
      </x:c>
      <x:c r="E8" t="str">
        <x:v>Up to 5 measured parent/educator/channel tests × €5,000.</x:v>
      </x:c>
      <x:c r="F8" t="str">
        <x:v>PLANNING / EXTERNAL CONTEXT</x:v>
      </x:c>
    </x:row>
    <x:row r="9" ht="21" customHeight="1">
      <x:c r="A9" t="str">
        <x:v>Privacy, IP &amp; legal review</x:v>
      </x:c>
      <x:c r="B9" s="8" t="n">
        <x:v>5000</x:v>
      </x:c>
      <x:c r="C9" s="8" t="n">
        <x:v>10000</x:v>
      </x:c>
      <x:c r="D9" s="8" t="n">
        <x:f>SUM(B9:C9)</x:f>
        <x:v>15000</x:v>
      </x:c>
      <x:c r="E9" t="str">
        <x:v>3 legal work packages × €5,000; actual counsel quotes pending.</x:v>
      </x:c>
      <x:c r="F9" t="str">
        <x:v>PLANNING / EXTERNAL CONTEXT</x:v>
      </x:c>
    </x:row>
    <x:row r="10" ht="21" customHeight="1">
      <x:c r="A10" t="str">
        <x:v>Priority-market localization</x:v>
      </x:c>
      <x:c r="B10" s="8" t="n">
        <x:v>0</x:v>
      </x:c>
      <x:c r="C10" s="8" t="n">
        <x:v>10000</x:v>
      </x:c>
      <x:c r="D10" s="8" t="n">
        <x:f>SUM(B10:C10)</x:f>
        <x:v>10000</x:v>
      </x:c>
      <x:c r="E10" t="str">
        <x:v>2 limited language/content packs × €5,000; not 8 product launches.</x:v>
      </x:c>
      <x:c r="F10" t="str">
        <x:v>PLANNING / EXTERNAL CONTEXT</x:v>
      </x:c>
    </x:row>
    <x:row r="11" ht="21" customHeight="1">
      <x:c r="A11" t="str">
        <x:v>QA, tools &amp; administration</x:v>
      </x:c>
      <x:c r="B11" s="8" t="n">
        <x:v>4000</x:v>
      </x:c>
      <x:c r="C11" s="8" t="n">
        <x:v>11000</x:v>
      </x:c>
      <x:c r="D11" s="8" t="n">
        <x:f>SUM(B11:C11)</x:f>
        <x:v>15000</x:v>
      </x:c>
      <x:c r="E11" t="str">
        <x:v>Testing devices, accessibility, finance systems and basic operations.</x:v>
      </x:c>
      <x:c r="F11" t="str">
        <x:v>PLANNING / EXTERNAL CONTEXT</x:v>
      </x:c>
    </x:row>
    <x:row r="12" ht="21" customHeight="1">
      <x:c r="A12" t="str">
        <x:v>Contingency (held, not spent)</x:v>
      </x:c>
      <x:c r="B12" s="8" t="n">
        <x:v>5000</x:v>
      </x:c>
      <x:c r="C12" s="8" t="n">
        <x:v>15000</x:v>
      </x:c>
      <x:c r="D12" s="8" t="n">
        <x:f>SUM(B12:C12)</x:f>
        <x:v>20000</x:v>
      </x:c>
      <x:c r="E12" t="str">
        <x:v>Approval-controlled cash reserve, excluded from planned burn.</x:v>
      </x:c>
      <x:c r="F12" t="str">
        <x:v>PLANNING / EXTERNAL CONTEXT</x:v>
      </x:c>
    </x:row>
    <x:row r="13" ht="21" customHeight="1">
      <x:c r="A13" t="str">
        <x:v>TOTAL</x:v>
      </x:c>
      <x:c r="B13" s="8" t="n">
        <x:f>SUM(B2:B12)</x:f>
        <x:v>250000</x:v>
      </x:c>
      <x:c r="C13" s="8" t="n">
        <x:f>SUM(C2:C12)</x:f>
        <x:v>150000</x:v>
      </x:c>
      <x:c r="D13" s="8" t="n">
        <x:f>SUM(D2:D12)</x:f>
        <x:v>400000</x:v>
      </x:c>
    </x:row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4" customHeight="1">
      <x:c r="A1" s="4" t="str">
        <x:v>WORK PACKAGE</x:v>
      </x:c>
      <x:c r="B1" s="4" t="str">
        <x:v>M1</x:v>
      </x:c>
      <x:c r="C1" s="4" t="str">
        <x:v>M2</x:v>
      </x:c>
      <x:c r="D1" s="4" t="str">
        <x:v>M3</x:v>
      </x:c>
      <x:c r="E1" s="4" t="str">
        <x:v>M4</x:v>
      </x:c>
      <x:c r="F1" s="4" t="str">
        <x:v>M5</x:v>
      </x:c>
      <x:c r="G1" s="4" t="str">
        <x:v>M6</x:v>
      </x:c>
      <x:c r="H1" s="4" t="str">
        <x:v>M7</x:v>
      </x:c>
      <x:c r="I1" s="4" t="str">
        <x:v>M8</x:v>
      </x:c>
      <x:c r="J1" s="4" t="str">
        <x:v>M9</x:v>
      </x:c>
      <x:c r="K1" s="4" t="str">
        <x:v>M10</x:v>
      </x:c>
      <x:c r="L1" s="4" t="str">
        <x:v>M11</x:v>
      </x:c>
      <x:c r="M1" s="4" t="str">
        <x:v>M12</x:v>
      </x:c>
      <x:c r="N1" s="4" t="str">
        <x:v>ANNUAL TOTAL (EUR)</x:v>
      </x:c>
    </x:row>
    <x:row r="2" ht="21" customHeight="1">
      <x:c r="A2" t="str">
        <x:v>Five co-founders — remuneration</x:v>
      </x:c>
      <x:c r="B2" s="8" t="n">
        <x:v>12500</x:v>
      </x:c>
      <x:c r="C2" s="8" t="n">
        <x:v>12500</x:v>
      </x:c>
      <x:c r="D2" s="8" t="n">
        <x:v>12500</x:v>
      </x:c>
      <x:c r="E2" s="8" t="n">
        <x:v>12500</x:v>
      </x:c>
      <x:c r="F2" s="8" t="n">
        <x:v>12500</x:v>
      </x:c>
      <x:c r="G2" s="8" t="n">
        <x:v>12500</x:v>
      </x:c>
      <x:c r="H2" s="8" t="n">
        <x:v>12500</x:v>
      </x:c>
      <x:c r="I2" s="8" t="n">
        <x:v>12500</x:v>
      </x:c>
      <x:c r="J2" s="8" t="n">
        <x:v>12500</x:v>
      </x:c>
      <x:c r="K2" s="8" t="n">
        <x:v>12500</x:v>
      </x:c>
      <x:c r="L2" s="8" t="n">
        <x:v>12500</x:v>
      </x:c>
      <x:c r="M2" s="8" t="n">
        <x:v>12500</x:v>
      </x:c>
      <x:c r="N2" s="8" t="n">
        <x:f>SUM(B2:M2)</x:f>
        <x:v>150000</x:v>
      </x:c>
    </x:row>
    <x:row r="3" ht="21" customHeight="1">
      <x:c r="A3" t="str">
        <x:v>Employer / insurance provision</x:v>
      </x:c>
      <x:c r="B3" s="8" t="n">
        <x:v>2500</x:v>
      </x:c>
      <x:c r="C3" s="8" t="n">
        <x:v>2500</x:v>
      </x:c>
      <x:c r="D3" s="8" t="n">
        <x:v>2500</x:v>
      </x:c>
      <x:c r="E3" s="8" t="n">
        <x:v>2500</x:v>
      </x:c>
      <x:c r="F3" s="8" t="n">
        <x:v>2500</x:v>
      </x:c>
      <x:c r="G3" s="8" t="n">
        <x:v>2500</x:v>
      </x:c>
      <x:c r="H3" s="8" t="n">
        <x:v>3333.33</x:v>
      </x:c>
      <x:c r="I3" s="8" t="n">
        <x:v>3333.33</x:v>
      </x:c>
      <x:c r="J3" s="8" t="n">
        <x:v>3333.33</x:v>
      </x:c>
      <x:c r="K3" s="8" t="n">
        <x:v>3333.33</x:v>
      </x:c>
      <x:c r="L3" s="8" t="n">
        <x:v>3333.33</x:v>
      </x:c>
      <x:c r="M3" s="8" t="n">
        <x:v>3333.35</x:v>
      </x:c>
      <x:c r="N3" s="8" t="n">
        <x:f>SUM(B3:M3)</x:f>
        <x:v>35000.00000000001</x:v>
      </x:c>
    </x:row>
    <x:row r="4" ht="21" customHeight="1">
      <x:c r="A4" t="str">
        <x:v>Product &amp; mobile engineering</x:v>
      </x:c>
      <x:c r="B4" s="8" t="n">
        <x:v>0</x:v>
      </x:c>
      <x:c r="C4" s="8" t="n">
        <x:v>1263.16</x:v>
      </x:c>
      <x:c r="D4" s="8" t="n">
        <x:v>2526.32</x:v>
      </x:c>
      <x:c r="E4" s="8" t="n">
        <x:v>3157.89</x:v>
      </x:c>
      <x:c r="F4" s="8" t="n">
        <x:v>4891.23</x:v>
      </x:c>
      <x:c r="G4" s="8" t="n">
        <x:v>6624.56</x:v>
      </x:c>
      <x:c r="H4" s="8" t="n">
        <x:v>6859.65</x:v>
      </x:c>
      <x:c r="I4" s="8" t="n">
        <x:v>6859.65</x:v>
      </x:c>
      <x:c r="J4" s="8" t="n">
        <x:v>6228.07</x:v>
      </x:c>
      <x:c r="K4" s="8" t="n">
        <x:v>5361.4</x:v>
      </x:c>
      <x:c r="L4" s="8" t="n">
        <x:v>3863.16</x:v>
      </x:c>
      <x:c r="M4" s="8" t="n">
        <x:v>2364.91</x:v>
      </x:c>
      <x:c r="N4" s="8" t="n">
        <x:f>SUM(B4:M4)</x:f>
        <x:v>50000</x:v>
      </x:c>
    </x:row>
    <x:row r="5" ht="21" customHeight="1">
      <x:c r="A5" t="str">
        <x:v>Voice AI &amp; platform operations</x:v>
      </x:c>
      <x:c r="B5" s="8" t="n">
        <x:v>125</x:v>
      </x:c>
      <x:c r="C5" s="8" t="n">
        <x:v>125</x:v>
      </x:c>
      <x:c r="D5" s="8" t="n">
        <x:v>250</x:v>
      </x:c>
      <x:c r="E5" s="8" t="n">
        <x:v>375</x:v>
      </x:c>
      <x:c r="F5" s="8" t="n">
        <x:v>848.84</x:v>
      </x:c>
      <x:c r="G5" s="8" t="n">
        <x:v>1322.67</x:v>
      </x:c>
      <x:c r="H5" s="8" t="n">
        <x:v>1921.51</x:v>
      </x:c>
      <x:c r="I5" s="8" t="n">
        <x:v>2395.35</x:v>
      </x:c>
      <x:c r="J5" s="8" t="n">
        <x:v>3343.02</x:v>
      </x:c>
      <x:c r="K5" s="8" t="n">
        <x:v>4165.7</x:v>
      </x:c>
      <x:c r="L5" s="8" t="n">
        <x:v>4639.53</x:v>
      </x:c>
      <x:c r="M5" s="8" t="n">
        <x:v>5488.38</x:v>
      </x:c>
      <x:c r="N5" s="8" t="n">
        <x:f>SUM(B5:M5)</x:f>
        <x:v>25000</x:v>
      </x:c>
    </x:row>
    <x:row r="6" ht="21" customHeight="1">
      <x:c r="A6" t="str">
        <x:v>Interaction &amp; content design</x:v>
      </x:c>
      <x:c r="B6" s="8" t="n">
        <x:v>0</x:v>
      </x:c>
      <x:c r="C6" s="8" t="n">
        <x:v>1142.86</x:v>
      </x:c>
      <x:c r="D6" s="8" t="n">
        <x:v>1523.81</x:v>
      </x:c>
      <x:c r="E6" s="8" t="n">
        <x:v>1523.81</x:v>
      </x:c>
      <x:c r="F6" s="8" t="n">
        <x:v>3002.07</x:v>
      </x:c>
      <x:c r="G6" s="8" t="n">
        <x:v>4099.38</x:v>
      </x:c>
      <x:c r="H6" s="8" t="n">
        <x:v>4457.56</x:v>
      </x:c>
      <x:c r="I6" s="8" t="n">
        <x:v>4076.6</x:v>
      </x:c>
      <x:c r="J6" s="8" t="n">
        <x:v>2956.52</x:v>
      </x:c>
      <x:c r="K6" s="8" t="n">
        <x:v>1478.26</x:v>
      </x:c>
      <x:c r="L6" s="8" t="n">
        <x:v>739.13</x:v>
      </x:c>
      <x:c r="M6" s="8" t="n">
        <x:v>0</x:v>
      </x:c>
      <x:c r="N6" s="8" t="n">
        <x:f>SUM(B6:M6)</x:f>
        <x:v>25000</x:v>
      </x:c>
    </x:row>
    <x:row r="7" ht="21" customHeight="1">
      <x:c r="A7" t="str">
        <x:v>Child safety &amp; product evidence</x:v>
      </x:c>
      <x:c r="B7" s="8" t="n">
        <x:v>454.55</x:v>
      </x:c>
      <x:c r="C7" s="8" t="n">
        <x:v>454.55</x:v>
      </x:c>
      <x:c r="D7" s="8" t="n">
        <x:v>909.09</x:v>
      </x:c>
      <x:c r="E7" s="8" t="n">
        <x:v>909.09</x:v>
      </x:c>
      <x:c r="F7" s="8" t="n">
        <x:v>909.09</x:v>
      </x:c>
      <x:c r="G7" s="8" t="n">
        <x:v>2159.09</x:v>
      </x:c>
      <x:c r="H7" s="8" t="n">
        <x:v>3863.64</x:v>
      </x:c>
      <x:c r="I7" s="8" t="n">
        <x:v>3863.64</x:v>
      </x:c>
      <x:c r="J7" s="8" t="n">
        <x:v>5113.64</x:v>
      </x:c>
      <x:c r="K7" s="8" t="n">
        <x:v>4659.09</x:v>
      </x:c>
      <x:c r="L7" s="8" t="n">
        <x:v>4204.55</x:v>
      </x:c>
      <x:c r="M7" s="8" t="n">
        <x:v>2499.98</x:v>
      </x:c>
      <x:c r="N7" s="8" t="n">
        <x:f>SUM(B7:M7)</x:f>
        <x:v>30000</x:v>
      </x:c>
    </x:row>
    <x:row r="8" ht="21" customHeight="1">
      <x:c r="A8" t="str">
        <x:v>Market &amp; partner validation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2500</x:v>
      </x:c>
      <x:c r="I8" s="8" t="n">
        <x:v>3550</x:v>
      </x:c>
      <x:c r="J8" s="8" t="n">
        <x:v>3950</x:v>
      </x:c>
      <x:c r="K8" s="8" t="n">
        <x:v>5000</x:v>
      </x:c>
      <x:c r="L8" s="8" t="n">
        <x:v>5000</x:v>
      </x:c>
      <x:c r="M8" s="8" t="n">
        <x:v>5000</x:v>
      </x:c>
      <x:c r="N8" s="8" t="n">
        <x:f>SUM(B8:M8)</x:f>
        <x:v>25000</x:v>
      </x:c>
    </x:row>
    <x:row r="9" ht="21" customHeight="1">
      <x:c r="A9" t="str">
        <x:v>Privacy, IP &amp; legal review</x:v>
      </x:c>
      <x:c r="B9" s="8" t="n">
        <x:v>1666.67</x:v>
      </x:c>
      <x:c r="C9" s="8" t="n">
        <x:v>1250</x:v>
      </x:c>
      <x:c r="D9" s="8" t="n">
        <x:v>833.33</x:v>
      </x:c>
      <x:c r="E9" s="8" t="n">
        <x:v>833.33</x:v>
      </x:c>
      <x:c r="F9" s="8" t="n">
        <x:v>1041.67</x:v>
      </x:c>
      <x:c r="G9" s="8" t="n">
        <x:v>1250</x:v>
      </x:c>
      <x:c r="H9" s="8" t="n">
        <x:v>1875</x:v>
      </x:c>
      <x:c r="I9" s="8" t="n">
        <x:v>1875</x:v>
      </x:c>
      <x:c r="J9" s="8" t="n">
        <x:v>1875</x:v>
      </x:c>
      <x:c r="K9" s="8" t="n">
        <x:v>1250</x:v>
      </x:c>
      <x:c r="L9" s="8" t="n">
        <x:v>625</x:v>
      </x:c>
      <x:c r="M9" s="8" t="n">
        <x:v>625</x:v>
      </x:c>
      <x:c r="N9" s="8" t="n">
        <x:f>SUM(B9:M9)</x:f>
        <x:v>15000</x:v>
      </x:c>
    </x:row>
    <x:row r="10" ht="21" customHeight="1">
      <x:c r="A10" t="str">
        <x:v>Priority-market localization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8" t="n">
        <x:v>0</x:v>
      </x:c>
      <x:c r="H10" s="8" t="n">
        <x:v>0</x:v>
      </x:c>
      <x:c r="I10" s="8" t="n">
        <x:v>1111.11</x:v>
      </x:c>
      <x:c r="J10" s="8" t="n">
        <x:v>2222.22</x:v>
      </x:c>
      <x:c r="K10" s="8" t="n">
        <x:v>2222.22</x:v>
      </x:c>
      <x:c r="L10" s="8" t="n">
        <x:v>2222.22</x:v>
      </x:c>
      <x:c r="M10" s="8" t="n">
        <x:v>2222.23</x:v>
      </x:c>
      <x:c r="N10" s="8" t="n">
        <x:f>SUM(B10:M10)</x:f>
        <x:v>9999.999999999998</x:v>
      </x:c>
    </x:row>
    <x:row r="11" ht="21" customHeight="1">
      <x:c r="A11" t="str">
        <x:v>QA, tools &amp; administration</x:v>
      </x:c>
      <x:c r="B11" s="8" t="n">
        <x:v>333.33</x:v>
      </x:c>
      <x:c r="C11" s="8" t="n">
        <x:v>333.33</x:v>
      </x:c>
      <x:c r="D11" s="8" t="n">
        <x:v>333.33</x:v>
      </x:c>
      <x:c r="E11" s="8" t="n">
        <x:v>333.33</x:v>
      </x:c>
      <x:c r="F11" s="8" t="n">
        <x:v>1708.33</x:v>
      </x:c>
      <x:c r="G11" s="8" t="n">
        <x:v>1708.33</x:v>
      </x:c>
      <x:c r="H11" s="8" t="n">
        <x:v>1708.33</x:v>
      </x:c>
      <x:c r="I11" s="8" t="n">
        <x:v>1708.33</x:v>
      </x:c>
      <x:c r="J11" s="8" t="n">
        <x:v>1708.33</x:v>
      </x:c>
      <x:c r="K11" s="8" t="n">
        <x:v>1708.33</x:v>
      </x:c>
      <x:c r="L11" s="8" t="n">
        <x:v>1708.33</x:v>
      </x:c>
      <x:c r="M11" s="8" t="n">
        <x:v>1708.37</x:v>
      </x:c>
      <x:c r="N11" s="8" t="n">
        <x:f>SUM(B11:M11)</x:f>
        <x:v>15000</x:v>
      </x:c>
    </x:row>
    <x:row r="12" ht="21" customHeight="1">
      <x:c r="A12" t="str">
        <x:v>Contingency held (no scheduled spend)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8" t="n">
        <x:f>SUM(B12:M12)</x:f>
        <x:v>0</x:v>
      </x:c>
    </x:row>
    <x:row r="13" ht="21" customHeight="1">
      <x:c r="A13" t="str">
        <x:v>MONTHLY OPERATING DEPLOYMENT</x:v>
      </x:c>
      <x:c r="B13" s="8" t="n">
        <x:f>SUM(B2:B11)</x:f>
        <x:v>17579.550000000003</x:v>
      </x:c>
      <x:c r="C13" s="8" t="n">
        <x:f>SUM(C2:C11)</x:f>
        <x:v>19568.9</x:v>
      </x:c>
      <x:c r="D13" s="8" t="n">
        <x:f>SUM(D2:D11)</x:f>
        <x:v>21375.880000000005</x:v>
      </x:c>
      <x:c r="E13" s="8" t="n">
        <x:f>SUM(E2:E11)</x:f>
        <x:v>22132.450000000004</x:v>
      </x:c>
      <x:c r="F13" s="8" t="n">
        <x:f>SUM(F2:F11)</x:f>
        <x:v>27401.230000000003</x:v>
      </x:c>
      <x:c r="G13" s="8" t="n">
        <x:f>SUM(G2:G11)</x:f>
        <x:v>32164.030000000006</x:v>
      </x:c>
      <x:c r="H13" s="8" t="n">
        <x:f>SUM(H2:H11)</x:f>
        <x:v>39019.020000000004</x:v>
      </x:c>
      <x:c r="I13" s="8" t="n">
        <x:f>SUM(I2:I11)</x:f>
        <x:v>41273.01</x:v>
      </x:c>
      <x:c r="J13" s="8" t="n">
        <x:f>SUM(J2:J11)</x:f>
        <x:v>43230.130000000005</x:v>
      </x:c>
      <x:c r="K13" s="8" t="n">
        <x:f>SUM(K2:K11)</x:f>
        <x:v>41678.33</x:v>
      </x:c>
      <x:c r="L13" s="8" t="n">
        <x:f>SUM(L2:L11)</x:f>
        <x:v>38835.25</x:v>
      </x:c>
      <x:c r="M13" s="8" t="n">
        <x:f>SUM(M2:M11)</x:f>
        <x:v>35742.22000000001</x:v>
      </x:c>
      <x:c r="N13" s="8" t="n">
        <x:f>SUM(B13:M13)</x:f>
        <x:v>380000.00000000006</x:v>
      </x:c>
    </x:row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4" customHeight="1">
      <x:c r="A1" s="4" t="str">
        <x:v>SCENARIO</x:v>
      </x:c>
      <x:c r="B1" s="4" t="str">
        <x:v>INVESTOR 1 (EUR)</x:v>
      </x:c>
      <x:c r="C1" s="4" t="str">
        <x:v>INVESTOR 2 (EUR)</x:v>
      </x:c>
      <x:c r="D1" s="4" t="str">
        <x:v>INVESTOR 3 (EUR)</x:v>
      </x:c>
      <x:c r="E1" s="4" t="str">
        <x:v>INVESTOR 4 (EUR)</x:v>
      </x:c>
      <x:c r="F1" s="4" t="str">
        <x:v>TOTAL (EUR)</x:v>
      </x:c>
      <x:c r="G1" s="4" t="str">
        <x:v>DOCUMENT CLASS</x:v>
      </x:c>
    </x:row>
    <x:row r="2" ht="21" customHeight="1">
      <x:c r="A2" t="str">
        <x:v>Lead + two co-investors</x:v>
      </x:c>
      <x:c r="B2" t="n">
        <x:v>250000</x:v>
      </x:c>
      <x:c r="C2" t="n">
        <x:v>100000</x:v>
      </x:c>
      <x:c r="D2" t="n">
        <x:v>50000</x:v>
      </x:c>
      <x:c r="E2" t="n">
        <x:v>0</x:v>
      </x:c>
      <x:c r="F2" t="n">
        <x:f>SUM(B2:E2)</x:f>
        <x:v>400000</x:v>
      </x:c>
      <x:c r="G2" t="str">
        <x:v>Illustrative; no commitment implied</x:v>
      </x:c>
    </x:row>
    <x:row r="3" ht="21" customHeight="1">
      <x:c r="A3" t="str">
        <x:v>Lead + growth investor</x:v>
      </x:c>
      <x:c r="B3" t="n">
        <x:v>250000</x:v>
      </x:c>
      <x:c r="C3" t="n">
        <x:v>150000</x:v>
      </x:c>
      <x:c r="D3" t="n">
        <x:v>0</x:v>
      </x:c>
      <x:c r="E3" t="n">
        <x:v>0</x:v>
      </x:c>
      <x:c r="F3" t="n">
        <x:f>SUM(B3:E3)</x:f>
        <x:v>400000</x:v>
      </x:c>
      <x:c r="G3" t="str">
        <x:v>Illustrative; no commitment implied</x:v>
      </x:c>
    </x:row>
    <x:row r="4" ht="21" customHeight="1">
      <x:c r="A4" t="str">
        <x:v>Distributed syndicate</x:v>
      </x:c>
      <x:c r="B4" t="n">
        <x:v>100000</x:v>
      </x:c>
      <x:c r="C4" t="n">
        <x:v>100000</x:v>
      </x:c>
      <x:c r="D4" t="n">
        <x:v>100000</x:v>
      </x:c>
      <x:c r="E4" t="n">
        <x:v>100000</x:v>
      </x:c>
      <x:c r="F4" t="n">
        <x:f>SUM(B4:E4)</x:f>
        <x:v>400000</x:v>
      </x:c>
      <x:c r="G4" t="str">
        <x:v>Illustrative; no commitment implied</x:v>
      </x:c>
    </x:row>
    <x:row r="5" ht="21" customHeight="1"/>
    <x:row r="6" ht="21" customHeight="1"/>
    <x:row r="7" ht="21" customHeight="1"/>
    <x:row r="8" ht="21" customHeight="1"/>
    <x:row r="9" ht="21" customHeight="1"/>
    <x:row r="10" ht="21" customHeight="1"/>
    <x:row r="11" ht="21" customHeight="1"/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58" hidden="0" customWidth="1"/>
    <x:col min="3" max="3" width="47" hidden="0" customWidth="1"/>
    <x:col min="5" max="5" width="42" hidden="0" customWidth="1"/>
  </x:cols>
  <x:sheetData>
    <x:row r="1" ht="34" customHeight="1">
      <x:c r="A1" s="4" t="str">
        <x:v>SOURCE</x:v>
      </x:c>
      <x:c r="B1" s="4" t="str">
        <x:v>URL</x:v>
      </x:c>
      <x:c r="C1" s="4" t="str">
        <x:v>WHAT IT DOES AND DOES NOT SUPPORT</x:v>
      </x:c>
    </x:row>
    <x:row r="2" ht="21" customHeight="1">
      <x:c r="A2" t="str">
        <x:v>Suomi.fi — employee costs</x:v>
      </x:c>
      <x:c r="B2" t="str">
        <x:v>https://www.suomi.fi/guides/recruiting-an-employee/plan-the-recruitment/calculate-the-costs-of-the-employee</x:v>
      </x:c>
      <x:c r="C2" t="str">
        <x:v>Indirect wage-cost context, not confirmed founder insurance classification</x:v>
      </x:c>
    </x:row>
    <x:row r="3" ht="21" customHeight="1">
      <x:c r="A3" t="str">
        <x:v>Finnish Centre for Pensions</x:v>
      </x:c>
      <x:c r="B3" t="str">
        <x:v>https://www.etk.fi/en/finnish-pension-system/pensions/pension-coverage-and-insurance/self-employed/</x:v>
      </x:c>
      <x:c r="C3" t="str">
        <x:v>YEL/co-founder ownership classification</x:v>
      </x:c>
    </x:row>
    <x:row r="4" ht="21" customHeight="1">
      <x:c r="A4" t="str">
        <x:v>Duunitori 2024 software salary</x:v>
      </x:c>
      <x:c r="B4" t="str">
        <x:v>https://duunitori.fi/palkat/ohjelmistokehittaja</x:v>
      </x:c>
      <x:c r="C4" t="str">
        <x:v>Occupational mean, not cofounder salary benchmark</x:v>
      </x:c>
    </x:row>
    <x:row r="5" ht="21" customHeight="1">
      <x:c r="A5" t="str">
        <x:v>Unity 2026 official pricing</x:v>
      </x:c>
      <x:c r="B5" t="str">
        <x:v>https://unity.com/products</x:v>
      </x:c>
      <x:c r="C5" t="str">
        <x:v>Real licence eligibility/rates; no hired developer quote</x:v>
      </x:c>
    </x:row>
    <x:row r="6" ht="21" customHeight="1">
      <x:c r="A6" t="str">
        <x:v>ElevenLabs official API pricing</x:v>
      </x:c>
      <x:c r="B6" t="str">
        <x:v>https://elevenlabs.io/pricing/api</x:v>
      </x:c>
      <x:c r="C6" t="str">
        <x:v>Official product rate cards; actual per-session usage unmeasured</x:v>
      </x:c>
    </x:row>
    <x:row r="7" ht="21" customHeight="1">
      <x:c r="A7" t="str">
        <x:v>Duolingo SEC 2025 10-K</x:v>
      </x:c>
      <x:c r="B7" t="str">
        <x:v>https://www.sec.gov/Archives/edgar/data/1562088/000162828026012494/duol-20251231.htm</x:v>
      </x:c>
      <x:c r="C7" t="str">
        <x:v>Mature company R&amp;D and sales/marketing spend; no transfer ratio</x:v>
      </x:c>
    </x:row>
    <x:row r="8" ht="21" customHeight="1">
      <x:c r="A8" t="str">
        <x:v>Lingokids company financing announcement</x:v>
      </x:c>
      <x:c r="B8" t="str">
        <x:v>https://lingokids.com/press/linogkids-raises-120m-in-funding-to-expand-its-position</x:v>
      </x:c>
      <x:c r="C8" t="str">
        <x:v>Issuer public claim about expansion and AI content</x:v>
      </x:c>
    </x:row>
    <x:row r="9" ht="21" customHeight="1">
      <x:c r="A9" t="str">
        <x:v>Khan Academy Kids pricing</x:v>
      </x:c>
      <x:c r="B9" t="str">
        <x:v>https://www.khanacademy.org/kids/pricing</x:v>
      </x:c>
      <x:c r="C9" t="str">
        <x:v>Home vs institutions differ; nonprofit economics not comparable</x:v>
      </x:c>
    </x:row>
    <x:row r="10" ht="21" customHeight="1">
      <x:c r="A10" t="str">
        <x:v>Takacs et al. DOI</x:v>
      </x:c>
      <x:c r="B10" t="str">
        <x:v>https://doi.org/10.3102/0034654314566989</x:v>
      </x:c>
      <x:c r="C10" t="str">
        <x:v>Study-specific design evidence; not Lumi efficacy proof</x:v>
      </x:c>
    </x:row>
    <x:row r="11" ht="21" customHeight="1">
      <x:c r="A11" t="str">
        <x:v>UNICEF AI and children guidance</x:v>
      </x:c>
      <x:c r="B11" t="str">
        <x:v>https://www.unicef.org/innocenti/reports/policy-guidance-ai-children</x:v>
      </x:c>
      <x:c r="C11" t="str">
        <x:v>Normative child-centred safety design rationale</x:v>
      </x:c>
    </x:row>
    <x:row r="12" ht="21" customHeight="1"/>
    <x:row r="13" ht="21" customHeight="1"/>
    <x:row r="14" ht="21" customHeight="1"/>
    <x:row r="15" ht="21" customHeight="1"/>
    <x:row r="16" ht="21" customHeight="1"/>
    <x:row r="17" ht="21" customHeight="1"/>
    <x:row r="18" ht="21" customHeight="1"/>
    <x:row r="19" ht="21" customHeight="1"/>
    <x:row r="20" ht="21" customHeight="1"/>
    <x:row r="21" ht="21" customHeight="1"/>
    <x:row r="22" ht="21" customHeight="1"/>
    <x:row r="23" ht="21" customHeight="1"/>
    <x:row r="24" ht="21" customHeight="1"/>
    <x:row r="25" ht="21" customHeight="1"/>
    <x:row r="26" ht="21" customHeight="1"/>
    <x:row r="27" ht="21" customHeight="1"/>
    <x:row r="28" ht="21" customHeight="1"/>
    <x:row r="29" ht="21" customHeight="1"/>
    <x:row r="30" ht="21" customHeight="1"/>
    <x:row r="31" ht="21" customHeight="1"/>
    <x:row r="32" ht="21" customHeight="1"/>
    <x:row r="33" ht="21" customHeight="1"/>
    <x:row r="34" ht="21" customHeight="1"/>
    <x:row r="35" ht="21" customHeight="1"/>
    <x:row r="36" ht="21" customHeight="1"/>
    <x:row r="37" ht="21" customHeight="1"/>
    <x:row r="38" ht="21" customHeight="1"/>
    <x:row r="39" ht="21" customHeight="1"/>
    <x:row r="40" ht="21" customHeight="1"/>
  </x:sheetData>
  <x:pageMargins left="0.7" right="0.7" top="0.75" bottom="0.75" header="0.3" footer="0.3"/>
</x:worksheet>
</file>