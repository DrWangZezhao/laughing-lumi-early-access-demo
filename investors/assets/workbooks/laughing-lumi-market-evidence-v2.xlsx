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QA" sheetId="1" r:id="rId5"/>
    <sheet state="visible" name="DEMOGRAPHICS" sheetId="2" r:id="rId6"/>
    <sheet state="visible" name="HOUSEHOLD_ELIGIBILITY" sheetId="3" r:id="rId7"/>
    <sheet state="visible" name="MARKET_FORMULAS" sheetId="4" r:id="rId8"/>
    <sheet state="visible" name="COUNTRY_COMPARISON" sheetId="5" r:id="rId9"/>
    <sheet state="visible" name="COMPETITOR_SKU" sheetId="6" r:id="rId10"/>
    <sheet state="visible" name="CASE_TRANSFERABILITY" sheetId="7" r:id="rId11"/>
    <sheet state="visible" name="CHINA" sheetId="8" r:id="rId12"/>
    <sheet state="visible" name="CUSTOMER_TESTS" sheetId="9" r:id="rId13"/>
    <sheet state="visible" name="CLAIM_EXPORT" sheetId="10" r:id="rId14"/>
    <sheet state="visible" name="CHANGELOG" sheetId="11" r:id="rId15"/>
  </sheets>
  <definedNames/>
  <calcPr/>
</workbook>
</file>

<file path=xl/sharedStrings.xml><?xml version="1.0" encoding="utf-8"?>
<sst xmlns="http://schemas.openxmlformats.org/spreadsheetml/2006/main" count="430" uniqueCount="228">
  <si>
    <t>ID</t>
  </si>
  <si>
    <t>EvidenceID</t>
  </si>
  <si>
    <t>Country</t>
  </si>
  <si>
    <t>Year</t>
  </si>
  <si>
    <t>Age</t>
  </si>
  <si>
    <t>Value</t>
  </si>
  <si>
    <t>Unit</t>
  </si>
  <si>
    <t>Source</t>
  </si>
  <si>
    <t>SourceURL</t>
  </si>
  <si>
    <t>Disclosure</t>
  </si>
  <si>
    <t>Status</t>
  </si>
  <si>
    <t>UniqueEligibleFamilies</t>
  </si>
  <si>
    <t>AgeMinApproved</t>
  </si>
  <si>
    <t>MKT-FI-001</t>
  </si>
  <si>
    <t>ServiceabilityShare</t>
  </si>
  <si>
    <t>Method</t>
  </si>
  <si>
    <t>AgeMaxApproved</t>
  </si>
  <si>
    <t>AnnualLocalGrossPrice</t>
  </si>
  <si>
    <t>Limitation</t>
  </si>
  <si>
    <t>Finland</t>
  </si>
  <si>
    <t>UniqueEligibleHouseholds</t>
  </si>
  <si>
    <t>GrossTAM</t>
  </si>
  <si>
    <t>0-4</t>
  </si>
  <si>
    <t>DeviceAccessFraction</t>
  </si>
  <si>
    <t>GrossSAM</t>
  </si>
  <si>
    <t>persons</t>
  </si>
  <si>
    <t>FI</t>
  </si>
  <si>
    <t>Currency</t>
  </si>
  <si>
    <t>LanguageFit</t>
  </si>
  <si>
    <t>StatFin 11rc</t>
  </si>
  <si>
    <t>LegalAccess</t>
  </si>
  <si>
    <t>INTERNAL_ONLY</t>
  </si>
  <si>
    <t>MKT-FI-002</t>
  </si>
  <si>
    <t>WTPObserved</t>
  </si>
  <si>
    <t>https://pxdata.stat.fi/PxWeb/pxweb/en/StatFin/StatFin__vaerak/statfin_vaerak_pxt_11rc.px/?action=selectdefault</t>
  </si>
  <si>
    <t>5-9</t>
  </si>
  <si>
    <t>UNKNOWN</t>
  </si>
  <si>
    <t>MKT-SE-001</t>
  </si>
  <si>
    <t>Sweden</t>
  </si>
  <si>
    <t>SCB</t>
  </si>
  <si>
    <t>MKT-SE-002</t>
  </si>
  <si>
    <t>Norway</t>
  </si>
  <si>
    <t>Denmark</t>
  </si>
  <si>
    <t>MKT-ES-001</t>
  </si>
  <si>
    <t>Spain</t>
  </si>
  <si>
    <t>V1 pending check</t>
  </si>
  <si>
    <t>Mainland China</t>
  </si>
  <si>
    <t>MKT-ES-002</t>
  </si>
  <si>
    <t>MKT-CN-001</t>
  </si>
  <si>
    <t>China</t>
  </si>
  <si>
    <t>0-14</t>
  </si>
  <si>
    <t>estimate</t>
  </si>
  <si>
    <t>NBS sample</t>
  </si>
  <si>
    <t>EXTERNAL_VERIFIED</t>
  </si>
  <si>
    <t>Register Dec31</t>
  </si>
  <si>
    <t>Not families</t>
  </si>
  <si>
    <t>SE</t>
  </si>
  <si>
    <t>https://www.scb.se/hitta-statistik/sverige-i-siffror/manniskorna-i-sverige/befolkningspyramid-for-sverige/</t>
  </si>
  <si>
    <t>EUR</t>
  </si>
  <si>
    <t>SEK</t>
  </si>
  <si>
    <t>254300+267980</t>
  </si>
  <si>
    <t>NOK</t>
  </si>
  <si>
    <t>291037+307604</t>
  </si>
  <si>
    <t>CN</t>
  </si>
  <si>
    <t>estimated persons</t>
  </si>
  <si>
    <t>https://www.stats.gov.cn/english/PressRelease/202605/t20260522_1963789.html</t>
  </si>
  <si>
    <t>DKK</t>
  </si>
  <si>
    <t>CNY</t>
  </si>
  <si>
    <t>1% population sample</t>
  </si>
  <si>
    <t>Not English-learning buyers</t>
  </si>
  <si>
    <t>MKT-CN-002</t>
  </si>
  <si>
    <t>all-age</t>
  </si>
  <si>
    <t>households</t>
  </si>
  <si>
    <t>all-family survey estimate</t>
  </si>
  <si>
    <t>Not child-eligible households</t>
  </si>
  <si>
    <t>ES</t>
  </si>
  <si>
    <t>https://inclasns.sanidad.gob.es/report/population/</t>
  </si>
  <si>
    <t>V1 reported</t>
  </si>
  <si>
    <t>Direct V2 table-cell check pending</t>
  </si>
  <si>
    <t>MKT-NO-001</t>
  </si>
  <si>
    <t>NO</t>
  </si>
  <si>
    <t>0-9</t>
  </si>
  <si>
    <t>https://www.ssb.no/en/statbank1/table/07459/</t>
  </si>
  <si>
    <t>Not extracted</t>
  </si>
  <si>
    <t>Source table needs selected cells</t>
  </si>
  <si>
    <t>MKT-DK-001</t>
  </si>
  <si>
    <t>DK</t>
  </si>
  <si>
    <t>https://www.dst.dk/en/Statistik/udgivelser/nyt/relateret?pid=564</t>
  </si>
  <si>
    <t>AgeMatched</t>
  </si>
  <si>
    <t>ProductLanguageConfirmed</t>
  </si>
  <si>
    <t>LegalChannelConfirmed</t>
  </si>
  <si>
    <t>CountryRank</t>
  </si>
  <si>
    <t>Reason</t>
  </si>
  <si>
    <t>NOT RANKED</t>
  </si>
  <si>
    <t>Do not use population forecasts</t>
  </si>
  <si>
    <t>Comparable household and commercial inputs unavailable</t>
  </si>
  <si>
    <t>PriceID</t>
  </si>
  <si>
    <t>Product</t>
  </si>
  <si>
    <t>Storefront</t>
  </si>
  <si>
    <t>SKU</t>
  </si>
  <si>
    <t>Price</t>
  </si>
  <si>
    <t>Billing</t>
  </si>
  <si>
    <t>Case</t>
  </si>
  <si>
    <t>Category</t>
  </si>
  <si>
    <t>PRC-FI-001</t>
  </si>
  <si>
    <t>Evidence</t>
  </si>
  <si>
    <t>Transferability</t>
  </si>
  <si>
    <t>Lingokids</t>
  </si>
  <si>
    <t>Restriction</t>
  </si>
  <si>
    <t>Apple FI</t>
  </si>
  <si>
    <t>Plus Yearly Membership</t>
  </si>
  <si>
    <t>Khan Academy Kids</t>
  </si>
  <si>
    <t>Free substitute</t>
  </si>
  <si>
    <t>https://www.khanacademy.org/kids/pricing</t>
  </si>
  <si>
    <t>annual</t>
  </si>
  <si>
    <t>https://apps.apple.com/fi/app/lingokids-games-shows/id1002043426</t>
  </si>
  <si>
    <t>Strong price competition</t>
  </si>
  <si>
    <t>Not profit analogue</t>
  </si>
  <si>
    <t>Paid learning app</t>
  </si>
  <si>
    <t>PRC-ES-001</t>
  </si>
  <si>
    <t>Apple ES</t>
  </si>
  <si>
    <t>https://apps.apple.com/es/app/lingokids-juegos-en-ingl%C3%A9s/id1002043426</t>
  </si>
  <si>
    <t>Packaging example</t>
  </si>
  <si>
    <t>Not Lumi WTP</t>
  </si>
  <si>
    <t>Pok Pok</t>
  </si>
  <si>
    <t>Creative paid play</t>
  </si>
  <si>
    <t>https://apps.apple.com/se/app/pok-pok/id1550204730</t>
  </si>
  <si>
    <t>Topic</t>
  </si>
  <si>
    <t>Market Finding</t>
  </si>
  <si>
    <t>Owner</t>
  </si>
  <si>
    <t>Dependency</t>
  </si>
  <si>
    <t>Demography</t>
  </si>
  <si>
    <t>0-14 estimate 214.36m</t>
  </si>
  <si>
    <t>GPT1</t>
  </si>
  <si>
    <t>Target ages</t>
  </si>
  <si>
    <t>English play</t>
  </si>
  <si>
    <t>Possible market-specific concept</t>
  </si>
  <si>
    <t>RESEARCH_HYPOTHESIS</t>
  </si>
  <si>
    <t>Adult parent study</t>
  </si>
  <si>
    <t>Learning effects</t>
  </si>
  <si>
    <t>No evidence for Lumi</t>
  </si>
  <si>
    <t>GPT3</t>
  </si>
  <si>
    <t>Interaction reference</t>
  </si>
  <si>
    <t>Validated study</t>
  </si>
  <si>
    <t>Storefront differs</t>
  </si>
  <si>
    <t>ASR</t>
  </si>
  <si>
    <t>ABCmouse FTC</t>
  </si>
  <si>
    <t>Child L2 accuracy unknown</t>
  </si>
  <si>
    <t>Historic billing case</t>
  </si>
  <si>
    <t>https://www.ftc.gov/news-events/news/press-releases/2020/09/childrens-online-learning-program-abcmouse-pay-10-million-settle-ftc-charges-illegal-marketing</t>
  </si>
  <si>
    <t>Safe testing</t>
  </si>
  <si>
    <t>Distribution</t>
  </si>
  <si>
    <t>Unverified market operation</t>
  </si>
  <si>
    <t>Legal/GPT4</t>
  </si>
  <si>
    <t>Local classification</t>
  </si>
  <si>
    <t>Entry decision</t>
  </si>
  <si>
    <t>Research before launch</t>
  </si>
  <si>
    <t>MODEL_ASSUMPTION</t>
  </si>
  <si>
    <t>GPT0</t>
  </si>
  <si>
    <t>PRC-LUMI-001</t>
  </si>
  <si>
    <t>Founder approvals</t>
  </si>
  <si>
    <t>Hypothesis</t>
  </si>
  <si>
    <t>Laughing Lumi</t>
  </si>
  <si>
    <t>Proposed</t>
  </si>
  <si>
    <t>Unvalidated annual</t>
  </si>
  <si>
    <t/>
  </si>
  <si>
    <t>PRC-CN-001</t>
  </si>
  <si>
    <t>Hongen English</t>
  </si>
  <si>
    <t>Apple CN</t>
  </si>
  <si>
    <t>V1 listing</t>
  </si>
  <si>
    <t>RECHECK_REQUIRED</t>
  </si>
  <si>
    <t>https://apps.apple.com/cn/app/id1176835541</t>
  </si>
  <si>
    <t>Transparent renewal policy</t>
  </si>
  <si>
    <t>Not Finnish law</t>
  </si>
  <si>
    <t>StudyStage</t>
  </si>
  <si>
    <t>Sample</t>
  </si>
  <si>
    <t>Measure</t>
  </si>
  <si>
    <t>Discovery</t>
  </si>
  <si>
    <t>Adult caregivers</t>
  </si>
  <si>
    <t>Paid/free alternatives</t>
  </si>
  <si>
    <t>NOT_EXECUTED</t>
  </si>
  <si>
    <t>Concept</t>
  </si>
  <si>
    <t>Concept comprehension</t>
  </si>
  <si>
    <t>Randomized package choice</t>
  </si>
  <si>
    <t>Checkout</t>
  </si>
  <si>
    <t>Eligible adult transactions</t>
  </si>
  <si>
    <t>Observed paid conversion</t>
  </si>
  <si>
    <t>GPT1/GPT2</t>
  </si>
  <si>
    <t>Renewal</t>
  </si>
  <si>
    <t>Paid cohorts</t>
  </si>
  <si>
    <t>Paid renewals/refunds</t>
  </si>
  <si>
    <t>GPT2</t>
  </si>
  <si>
    <t>ClaimID</t>
  </si>
  <si>
    <t>EnglishClaim</t>
  </si>
  <si>
    <t>EvidenceStatus</t>
  </si>
  <si>
    <t>Approval</t>
  </si>
  <si>
    <t>INV-MKT-FI-2025-001-v2</t>
  </si>
  <si>
    <t>Finland 2025 0-4 233195; 5-9 260499 persons</t>
  </si>
  <si>
    <t>MKT-FI-001/002</t>
  </si>
  <si>
    <t>DRAFT</t>
  </si>
  <si>
    <t>INV-MKT-SE-2025-001-v2</t>
  </si>
  <si>
    <t>Sweden 2025 0-4 522280; 5-9 598641 persons</t>
  </si>
  <si>
    <t>MKT-SE-001/002</t>
  </si>
  <si>
    <t>INV-MKT-CN-2025-001-v2</t>
  </si>
  <si>
    <t>China 2025 sample 0-14 214.36m persons</t>
  </si>
  <si>
    <t>INV-PRC-FI-2026-001-v2</t>
  </si>
  <si>
    <t>Finnish Lingokids yearly listed EUR107.99</t>
  </si>
  <si>
    <t>ChangeID</t>
  </si>
  <si>
    <t>Issue</t>
  </si>
  <si>
    <t>Fix/Status</t>
  </si>
  <si>
    <t>V2-001</t>
  </si>
  <si>
    <t>Cross-country age mismatch</t>
  </si>
  <si>
    <t>Not summed; conditional cohorts</t>
  </si>
  <si>
    <t>V2-002</t>
  </si>
  <si>
    <t>Spain cell recertification</t>
  </si>
  <si>
    <t>PENDING</t>
  </si>
  <si>
    <t>V2-003</t>
  </si>
  <si>
    <t>Competitor SKU confused with WTP</t>
  </si>
  <si>
    <t>Qualified regional vendor catalog</t>
  </si>
  <si>
    <t>V2-004</t>
  </si>
  <si>
    <t>Unvalidated EUR99</t>
  </si>
  <si>
    <t>V2-005</t>
  </si>
  <si>
    <t>Unknown household denominator</t>
  </si>
  <si>
    <t>Empty market model inputs</t>
  </si>
  <si>
    <t>V2-006</t>
  </si>
  <si>
    <t>China launch assumed</t>
  </si>
  <si>
    <t>Research hypothesis + counsel gates</t>
  </si>
  <si>
    <t>GPT1/GPT3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</si>
</sst>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AEFF7"/>
        <bgColor rgb="FFEAEFF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xdata.stat.fi/PxWeb/pxweb/en/StatFin/StatFin__vaerak/statfin_vaerak_pxt_11rc.px/?action=selectdefault" TargetMode="External"/><Relationship Id="rId2" Type="http://schemas.openxmlformats.org/officeDocument/2006/relationships/hyperlink" Target="https://pxdata.stat.fi/PxWeb/pxweb/en/StatFin/StatFin__vaerak/statfin_vaerak_pxt_11rc.px/?action=selectdefault" TargetMode="External"/><Relationship Id="rId3" Type="http://schemas.openxmlformats.org/officeDocument/2006/relationships/hyperlink" Target="https://www.scb.se/hitta-statistik/sverige-i-siffror/manniskorna-i-sverige/befolkningspyramid-for-sverige/" TargetMode="External"/><Relationship Id="rId4" Type="http://schemas.openxmlformats.org/officeDocument/2006/relationships/hyperlink" Target="https://www.scb.se/hitta-statistik/sverige-i-siffror/manniskorna-i-sverige/befolkningspyramid-for-sverige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st.dk/en/Statistik/udgivelser/nyt/relateret?pid=564" TargetMode="External"/><Relationship Id="rId9" Type="http://schemas.openxmlformats.org/officeDocument/2006/relationships/hyperlink" Target="https://www.ssb.no/en/statbank1/table/07459/" TargetMode="External"/><Relationship Id="rId5" Type="http://schemas.openxmlformats.org/officeDocument/2006/relationships/hyperlink" Target="https://www.stats.gov.cn/english/PressRelease/202605/t20260522_1963789.html" TargetMode="External"/><Relationship Id="rId6" Type="http://schemas.openxmlformats.org/officeDocument/2006/relationships/hyperlink" Target="https://www.stats.gov.cn/english/PressRelease/202605/t20260522_1963789.html" TargetMode="External"/><Relationship Id="rId7" Type="http://schemas.openxmlformats.org/officeDocument/2006/relationships/hyperlink" Target="https://inclasns.sanidad.gob.es/report/population/" TargetMode="External"/><Relationship Id="rId8" Type="http://schemas.openxmlformats.org/officeDocument/2006/relationships/hyperlink" Target="https://inclasns.sanidad.gob.es/report/populatio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apple.com/fi/app/lingokids-games-shows/id1002043426" TargetMode="External"/><Relationship Id="rId2" Type="http://schemas.openxmlformats.org/officeDocument/2006/relationships/hyperlink" Target="https://apps.apple.com/es/app/lingokids-juegos-en-ingl%C3%A9s/id1002043426" TargetMode="External"/><Relationship Id="rId3" Type="http://schemas.openxmlformats.org/officeDocument/2006/relationships/hyperlink" Target="https://apps.apple.com/cn/app/id1176835541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anacademy.org/kids/pricing" TargetMode="External"/><Relationship Id="rId2" Type="http://schemas.openxmlformats.org/officeDocument/2006/relationships/hyperlink" Target="https://apps.apple.com/fi/app/lingokids-games-shows/id1002043426" TargetMode="External"/><Relationship Id="rId3" Type="http://schemas.openxmlformats.org/officeDocument/2006/relationships/hyperlink" Target="https://apps.apple.com/se/app/pok-pok/id1550204730" TargetMode="External"/><Relationship Id="rId4" Type="http://schemas.openxmlformats.org/officeDocument/2006/relationships/hyperlink" Target="https://www.ftc.gov/news-events/news/press-releases/2020/09/childrens-online-learning-program-abcmouse-pay-10-million-settle-ftc-charges-illegal-marketing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15</v>
      </c>
      <c r="J1" s="1" t="s">
        <v>18</v>
      </c>
    </row>
    <row r="2">
      <c r="A2" s="2" t="s">
        <v>13</v>
      </c>
      <c r="B2" s="2" t="s">
        <v>26</v>
      </c>
      <c r="C2" s="2">
        <v>2025.0</v>
      </c>
      <c r="D2" s="2" t="s">
        <v>22</v>
      </c>
      <c r="E2" s="2">
        <v>233195.0</v>
      </c>
      <c r="F2" s="2" t="s">
        <v>25</v>
      </c>
      <c r="G2" s="5" t="s">
        <v>34</v>
      </c>
      <c r="H2" s="2" t="s">
        <v>53</v>
      </c>
      <c r="I2" s="2" t="s">
        <v>54</v>
      </c>
      <c r="J2" s="2" t="s">
        <v>55</v>
      </c>
    </row>
    <row r="3">
      <c r="A3" s="2" t="s">
        <v>32</v>
      </c>
      <c r="B3" s="2" t="s">
        <v>26</v>
      </c>
      <c r="C3" s="2">
        <v>2025.0</v>
      </c>
      <c r="D3" s="3" t="s">
        <v>35</v>
      </c>
      <c r="E3" s="2">
        <v>260499.0</v>
      </c>
      <c r="F3" s="2" t="s">
        <v>25</v>
      </c>
      <c r="G3" s="5" t="s">
        <v>34</v>
      </c>
      <c r="H3" s="2" t="s">
        <v>53</v>
      </c>
      <c r="I3" s="2" t="s">
        <v>54</v>
      </c>
      <c r="J3" s="2" t="s">
        <v>55</v>
      </c>
    </row>
    <row r="4">
      <c r="A4" s="2" t="s">
        <v>37</v>
      </c>
      <c r="B4" s="2" t="s">
        <v>56</v>
      </c>
      <c r="C4" s="2">
        <v>2025.0</v>
      </c>
      <c r="D4" s="2" t="s">
        <v>22</v>
      </c>
      <c r="E4" s="2">
        <v>522280.0</v>
      </c>
      <c r="F4" s="2" t="s">
        <v>25</v>
      </c>
      <c r="G4" s="5" t="s">
        <v>57</v>
      </c>
      <c r="H4" s="2" t="s">
        <v>53</v>
      </c>
      <c r="I4" s="2" t="s">
        <v>60</v>
      </c>
      <c r="J4" s="2" t="s">
        <v>55</v>
      </c>
    </row>
    <row r="5">
      <c r="A5" s="2" t="s">
        <v>40</v>
      </c>
      <c r="B5" s="2" t="s">
        <v>56</v>
      </c>
      <c r="C5" s="2">
        <v>2025.0</v>
      </c>
      <c r="D5" s="3" t="s">
        <v>35</v>
      </c>
      <c r="E5" s="2">
        <v>598641.0</v>
      </c>
      <c r="F5" s="2" t="s">
        <v>25</v>
      </c>
      <c r="G5" s="5" t="s">
        <v>57</v>
      </c>
      <c r="H5" s="2" t="s">
        <v>53</v>
      </c>
      <c r="I5" s="2" t="s">
        <v>62</v>
      </c>
      <c r="J5" s="2" t="s">
        <v>55</v>
      </c>
    </row>
    <row r="6">
      <c r="A6" s="2" t="s">
        <v>48</v>
      </c>
      <c r="B6" s="2" t="s">
        <v>63</v>
      </c>
      <c r="C6" s="2">
        <v>2025.0</v>
      </c>
      <c r="D6" s="2" t="s">
        <v>50</v>
      </c>
      <c r="E6" s="2">
        <v>2.1436E8</v>
      </c>
      <c r="F6" s="2" t="s">
        <v>64</v>
      </c>
      <c r="G6" s="5" t="s">
        <v>65</v>
      </c>
      <c r="H6" s="2" t="s">
        <v>53</v>
      </c>
      <c r="I6" s="2" t="s">
        <v>68</v>
      </c>
      <c r="J6" s="2" t="s">
        <v>69</v>
      </c>
    </row>
    <row r="7">
      <c r="A7" s="2" t="s">
        <v>70</v>
      </c>
      <c r="B7" s="2" t="s">
        <v>63</v>
      </c>
      <c r="C7" s="2">
        <v>2025.0</v>
      </c>
      <c r="D7" s="2" t="s">
        <v>71</v>
      </c>
      <c r="E7" s="2">
        <v>5.1465E8</v>
      </c>
      <c r="F7" s="2" t="s">
        <v>72</v>
      </c>
      <c r="G7" s="5" t="s">
        <v>65</v>
      </c>
      <c r="H7" s="2" t="s">
        <v>53</v>
      </c>
      <c r="I7" s="2" t="s">
        <v>73</v>
      </c>
      <c r="J7" s="2" t="s">
        <v>74</v>
      </c>
    </row>
    <row r="8">
      <c r="A8" s="2" t="s">
        <v>43</v>
      </c>
      <c r="B8" s="2" t="s">
        <v>75</v>
      </c>
      <c r="C8" s="2">
        <v>2025.0</v>
      </c>
      <c r="D8" s="2" t="s">
        <v>22</v>
      </c>
      <c r="E8" s="2">
        <v>1697309.0</v>
      </c>
      <c r="F8" s="2" t="s">
        <v>25</v>
      </c>
      <c r="G8" s="5" t="s">
        <v>76</v>
      </c>
      <c r="H8" s="2" t="s">
        <v>36</v>
      </c>
      <c r="I8" s="2" t="s">
        <v>77</v>
      </c>
      <c r="J8" s="2" t="s">
        <v>78</v>
      </c>
    </row>
    <row r="9">
      <c r="A9" s="2" t="s">
        <v>47</v>
      </c>
      <c r="B9" s="2" t="s">
        <v>75</v>
      </c>
      <c r="C9" s="2">
        <v>2025.0</v>
      </c>
      <c r="D9" s="3" t="s">
        <v>35</v>
      </c>
      <c r="E9" s="2">
        <v>2111400.0</v>
      </c>
      <c r="F9" s="2" t="s">
        <v>25</v>
      </c>
      <c r="G9" s="5" t="s">
        <v>76</v>
      </c>
      <c r="H9" s="2" t="s">
        <v>36</v>
      </c>
      <c r="I9" s="2" t="s">
        <v>77</v>
      </c>
      <c r="J9" s="2" t="s">
        <v>78</v>
      </c>
    </row>
    <row r="10">
      <c r="A10" s="2" t="s">
        <v>79</v>
      </c>
      <c r="B10" s="2" t="s">
        <v>80</v>
      </c>
      <c r="C10" s="2">
        <v>2025.0</v>
      </c>
      <c r="D10" s="2" t="s">
        <v>81</v>
      </c>
      <c r="F10" s="2" t="s">
        <v>25</v>
      </c>
      <c r="G10" s="5" t="s">
        <v>82</v>
      </c>
      <c r="H10" s="2" t="s">
        <v>36</v>
      </c>
      <c r="I10" s="2" t="s">
        <v>83</v>
      </c>
      <c r="J10" s="2" t="s">
        <v>84</v>
      </c>
    </row>
    <row r="11">
      <c r="A11" s="2" t="s">
        <v>85</v>
      </c>
      <c r="B11" s="2" t="s">
        <v>86</v>
      </c>
      <c r="C11" s="2">
        <v>2025.0</v>
      </c>
      <c r="D11" s="2" t="s">
        <v>81</v>
      </c>
      <c r="F11" s="2" t="s">
        <v>25</v>
      </c>
      <c r="G11" s="5" t="s">
        <v>87</v>
      </c>
      <c r="H11" s="2" t="s">
        <v>36</v>
      </c>
      <c r="I11" s="2" t="s">
        <v>83</v>
      </c>
      <c r="J11" s="2" t="s">
        <v>94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>
      <c r="A2" s="2" t="s">
        <v>13</v>
      </c>
      <c r="B2" s="2" t="s">
        <v>19</v>
      </c>
      <c r="C2" s="2">
        <v>2025.0</v>
      </c>
      <c r="D2" s="2" t="s">
        <v>22</v>
      </c>
      <c r="E2" s="2">
        <v>233195.0</v>
      </c>
      <c r="F2" s="2" t="s">
        <v>25</v>
      </c>
      <c r="G2" s="2" t="s">
        <v>29</v>
      </c>
      <c r="H2" s="2" t="s">
        <v>31</v>
      </c>
    </row>
    <row r="3">
      <c r="A3" s="2" t="s">
        <v>32</v>
      </c>
      <c r="B3" s="2" t="s">
        <v>19</v>
      </c>
      <c r="C3" s="2">
        <v>2025.0</v>
      </c>
      <c r="D3" s="3" t="s">
        <v>35</v>
      </c>
      <c r="E3" s="2">
        <v>260499.0</v>
      </c>
      <c r="F3" s="2" t="s">
        <v>25</v>
      </c>
      <c r="G3" s="2" t="s">
        <v>29</v>
      </c>
      <c r="H3" s="2" t="s">
        <v>31</v>
      </c>
    </row>
    <row r="4">
      <c r="A4" s="2" t="s">
        <v>37</v>
      </c>
      <c r="B4" s="2" t="s">
        <v>38</v>
      </c>
      <c r="C4" s="2">
        <v>2025.0</v>
      </c>
      <c r="D4" s="2" t="s">
        <v>22</v>
      </c>
      <c r="E4" s="2">
        <v>522280.0</v>
      </c>
      <c r="F4" s="2" t="s">
        <v>25</v>
      </c>
      <c r="G4" s="2" t="s">
        <v>39</v>
      </c>
      <c r="H4" s="2" t="s">
        <v>31</v>
      </c>
    </row>
    <row r="5">
      <c r="A5" s="2" t="s">
        <v>40</v>
      </c>
      <c r="B5" s="2" t="s">
        <v>38</v>
      </c>
      <c r="C5" s="2">
        <v>2025.0</v>
      </c>
      <c r="D5" s="3" t="s">
        <v>35</v>
      </c>
      <c r="E5" s="2">
        <v>598641.0</v>
      </c>
      <c r="F5" s="2" t="s">
        <v>25</v>
      </c>
      <c r="G5" s="2" t="s">
        <v>39</v>
      </c>
      <c r="H5" s="2" t="s">
        <v>31</v>
      </c>
    </row>
    <row r="6">
      <c r="A6" s="2" t="s">
        <v>43</v>
      </c>
      <c r="B6" s="2" t="s">
        <v>44</v>
      </c>
      <c r="C6" s="2">
        <v>2025.0</v>
      </c>
      <c r="D6" s="2" t="s">
        <v>22</v>
      </c>
      <c r="E6" s="2">
        <v>1697309.0</v>
      </c>
      <c r="F6" s="2" t="s">
        <v>25</v>
      </c>
      <c r="G6" s="2" t="s">
        <v>45</v>
      </c>
      <c r="H6" s="2" t="s">
        <v>31</v>
      </c>
    </row>
    <row r="7">
      <c r="A7" s="2" t="s">
        <v>47</v>
      </c>
      <c r="B7" s="2" t="s">
        <v>44</v>
      </c>
      <c r="C7" s="2">
        <v>2025.0</v>
      </c>
      <c r="D7" s="3" t="s">
        <v>35</v>
      </c>
      <c r="E7" s="2">
        <v>2111400.0</v>
      </c>
      <c r="F7" s="2" t="s">
        <v>25</v>
      </c>
      <c r="G7" s="2" t="s">
        <v>45</v>
      </c>
      <c r="H7" s="2" t="s">
        <v>31</v>
      </c>
    </row>
    <row r="8">
      <c r="A8" s="2" t="s">
        <v>48</v>
      </c>
      <c r="B8" s="2" t="s">
        <v>49</v>
      </c>
      <c r="C8" s="2">
        <v>2025.0</v>
      </c>
      <c r="D8" s="2" t="s">
        <v>50</v>
      </c>
      <c r="E8" s="2">
        <v>2.1436E8</v>
      </c>
      <c r="F8" s="2" t="s">
        <v>51</v>
      </c>
      <c r="G8" s="2" t="s">
        <v>52</v>
      </c>
      <c r="H8" s="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12</v>
      </c>
      <c r="C1" s="1" t="s">
        <v>16</v>
      </c>
      <c r="D1" s="1" t="s">
        <v>20</v>
      </c>
      <c r="E1" s="1" t="s">
        <v>23</v>
      </c>
      <c r="F1" s="1" t="s">
        <v>28</v>
      </c>
      <c r="G1" s="1" t="s">
        <v>30</v>
      </c>
      <c r="H1" s="1" t="s">
        <v>33</v>
      </c>
      <c r="I1" s="1" t="s">
        <v>10</v>
      </c>
    </row>
    <row r="2">
      <c r="A2" s="2" t="s">
        <v>19</v>
      </c>
      <c r="I2" s="2" t="s">
        <v>36</v>
      </c>
    </row>
    <row r="3">
      <c r="A3" s="2" t="s">
        <v>38</v>
      </c>
      <c r="I3" s="2" t="s">
        <v>36</v>
      </c>
    </row>
    <row r="4">
      <c r="A4" s="2" t="s">
        <v>41</v>
      </c>
      <c r="I4" s="2" t="s">
        <v>36</v>
      </c>
    </row>
    <row r="5">
      <c r="A5" s="2" t="s">
        <v>42</v>
      </c>
      <c r="I5" s="2" t="s">
        <v>36</v>
      </c>
    </row>
    <row r="6">
      <c r="A6" s="2" t="s">
        <v>44</v>
      </c>
      <c r="I6" s="2" t="s">
        <v>36</v>
      </c>
    </row>
    <row r="7">
      <c r="A7" s="2" t="s">
        <v>46</v>
      </c>
      <c r="I7" s="2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11</v>
      </c>
      <c r="C1" s="1" t="s">
        <v>14</v>
      </c>
      <c r="D1" s="1" t="s">
        <v>17</v>
      </c>
      <c r="E1" s="1" t="s">
        <v>21</v>
      </c>
      <c r="F1" s="1" t="s">
        <v>24</v>
      </c>
      <c r="G1" s="1" t="s">
        <v>27</v>
      </c>
      <c r="H1" s="1" t="s">
        <v>10</v>
      </c>
    </row>
    <row r="2">
      <c r="A2" s="2" t="s">
        <v>19</v>
      </c>
      <c r="D2" s="2">
        <v>99.0</v>
      </c>
      <c r="E2" s="4" t="str">
        <f t="shared" ref="E2:E7" si="1">IF(OR(B2="",D2=""),"",B2*D2)</f>
        <v/>
      </c>
      <c r="F2" s="4" t="str">
        <f t="shared" ref="F2:F7" si="2">IF(OR(B2="",C2="",D2=""),"",B2*C2*D2)</f>
        <v/>
      </c>
      <c r="G2" s="2" t="s">
        <v>58</v>
      </c>
      <c r="H2" s="2" t="s">
        <v>36</v>
      </c>
    </row>
    <row r="3">
      <c r="A3" s="2" t="s">
        <v>38</v>
      </c>
      <c r="E3" s="4" t="str">
        <f t="shared" si="1"/>
        <v/>
      </c>
      <c r="F3" s="4" t="str">
        <f t="shared" si="2"/>
        <v/>
      </c>
      <c r="G3" s="2" t="s">
        <v>59</v>
      </c>
      <c r="H3" s="2" t="s">
        <v>36</v>
      </c>
    </row>
    <row r="4">
      <c r="A4" s="2" t="s">
        <v>41</v>
      </c>
      <c r="E4" s="4" t="str">
        <f t="shared" si="1"/>
        <v/>
      </c>
      <c r="F4" s="4" t="str">
        <f t="shared" si="2"/>
        <v/>
      </c>
      <c r="G4" s="2" t="s">
        <v>61</v>
      </c>
      <c r="H4" s="2" t="s">
        <v>36</v>
      </c>
    </row>
    <row r="5">
      <c r="A5" s="2" t="s">
        <v>42</v>
      </c>
      <c r="E5" s="4" t="str">
        <f t="shared" si="1"/>
        <v/>
      </c>
      <c r="F5" s="4" t="str">
        <f t="shared" si="2"/>
        <v/>
      </c>
      <c r="G5" s="2" t="s">
        <v>66</v>
      </c>
      <c r="H5" s="2" t="s">
        <v>36</v>
      </c>
    </row>
    <row r="6">
      <c r="A6" s="2" t="s">
        <v>44</v>
      </c>
      <c r="D6" s="2">
        <v>99.0</v>
      </c>
      <c r="E6" s="4" t="str">
        <f t="shared" si="1"/>
        <v/>
      </c>
      <c r="F6" s="4" t="str">
        <f t="shared" si="2"/>
        <v/>
      </c>
      <c r="G6" s="2" t="s">
        <v>58</v>
      </c>
      <c r="H6" s="2" t="s">
        <v>36</v>
      </c>
    </row>
    <row r="7">
      <c r="A7" s="2" t="s">
        <v>46</v>
      </c>
      <c r="E7" s="4" t="str">
        <f t="shared" si="1"/>
        <v/>
      </c>
      <c r="F7" s="4" t="str">
        <f t="shared" si="2"/>
        <v/>
      </c>
      <c r="G7" s="2" t="s">
        <v>67</v>
      </c>
      <c r="H7" s="2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88</v>
      </c>
      <c r="C1" s="1" t="s">
        <v>33</v>
      </c>
      <c r="D1" s="1" t="s">
        <v>89</v>
      </c>
      <c r="E1" s="1" t="s">
        <v>90</v>
      </c>
      <c r="F1" s="1" t="s">
        <v>91</v>
      </c>
      <c r="G1" s="1" t="s">
        <v>92</v>
      </c>
    </row>
    <row r="2">
      <c r="A2" s="2" t="s">
        <v>19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93</v>
      </c>
      <c r="G2" s="2" t="s">
        <v>95</v>
      </c>
    </row>
    <row r="3">
      <c r="A3" s="2" t="s">
        <v>38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93</v>
      </c>
      <c r="G3" s="2" t="s">
        <v>95</v>
      </c>
    </row>
    <row r="4">
      <c r="A4" s="2" t="s">
        <v>41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93</v>
      </c>
      <c r="G4" s="2" t="s">
        <v>95</v>
      </c>
    </row>
    <row r="5">
      <c r="A5" s="2" t="s">
        <v>42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93</v>
      </c>
      <c r="G5" s="2" t="s">
        <v>95</v>
      </c>
    </row>
    <row r="6">
      <c r="A6" s="2" t="s">
        <v>44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93</v>
      </c>
      <c r="G6" s="2" t="s">
        <v>95</v>
      </c>
    </row>
    <row r="7">
      <c r="A7" s="2" t="s">
        <v>46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93</v>
      </c>
      <c r="G7" s="2" t="s">
        <v>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96</v>
      </c>
      <c r="B1" s="1" t="s">
        <v>2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27</v>
      </c>
      <c r="H1" s="1" t="s">
        <v>101</v>
      </c>
      <c r="I1" s="1" t="s">
        <v>10</v>
      </c>
      <c r="J1" s="1" t="s">
        <v>7</v>
      </c>
    </row>
    <row r="2">
      <c r="A2" s="2" t="s">
        <v>104</v>
      </c>
      <c r="B2" s="2" t="s">
        <v>19</v>
      </c>
      <c r="C2" s="2" t="s">
        <v>107</v>
      </c>
      <c r="D2" s="2" t="s">
        <v>109</v>
      </c>
      <c r="E2" s="2" t="s">
        <v>110</v>
      </c>
      <c r="F2" s="2">
        <v>107.99</v>
      </c>
      <c r="G2" s="2" t="s">
        <v>58</v>
      </c>
      <c r="H2" s="2" t="s">
        <v>114</v>
      </c>
      <c r="I2" s="2" t="s">
        <v>53</v>
      </c>
      <c r="J2" s="5" t="s">
        <v>115</v>
      </c>
    </row>
    <row r="3">
      <c r="A3" s="2" t="s">
        <v>119</v>
      </c>
      <c r="B3" s="2" t="s">
        <v>44</v>
      </c>
      <c r="C3" s="2" t="s">
        <v>107</v>
      </c>
      <c r="D3" s="2" t="s">
        <v>120</v>
      </c>
      <c r="E3" s="2" t="s">
        <v>110</v>
      </c>
      <c r="F3" s="2">
        <v>89.99</v>
      </c>
      <c r="G3" s="2" t="s">
        <v>58</v>
      </c>
      <c r="H3" s="2" t="s">
        <v>114</v>
      </c>
      <c r="I3" s="2" t="s">
        <v>53</v>
      </c>
      <c r="J3" s="5" t="s">
        <v>121</v>
      </c>
    </row>
    <row r="4">
      <c r="A4" s="2" t="s">
        <v>159</v>
      </c>
      <c r="B4" s="2" t="s">
        <v>161</v>
      </c>
      <c r="C4" s="2" t="s">
        <v>162</v>
      </c>
      <c r="D4" s="2" t="s">
        <v>163</v>
      </c>
      <c r="E4" s="2" t="s">
        <v>164</v>
      </c>
      <c r="F4" s="2">
        <v>99.0</v>
      </c>
      <c r="G4" s="2" t="s">
        <v>58</v>
      </c>
      <c r="H4" s="2" t="s">
        <v>114</v>
      </c>
      <c r="I4" s="2" t="s">
        <v>157</v>
      </c>
      <c r="J4" s="2" t="s">
        <v>165</v>
      </c>
    </row>
    <row r="5">
      <c r="A5" s="2" t="s">
        <v>166</v>
      </c>
      <c r="B5" s="2" t="s">
        <v>49</v>
      </c>
      <c r="C5" s="2" t="s">
        <v>167</v>
      </c>
      <c r="D5" s="2" t="s">
        <v>168</v>
      </c>
      <c r="E5" s="2" t="s">
        <v>169</v>
      </c>
      <c r="G5" s="2" t="s">
        <v>67</v>
      </c>
      <c r="H5" s="2" t="s">
        <v>114</v>
      </c>
      <c r="I5" s="2" t="s">
        <v>170</v>
      </c>
      <c r="J5" s="5" t="s">
        <v>171</v>
      </c>
    </row>
  </sheetData>
  <hyperlinks>
    <hyperlink r:id="rId1" ref="J2"/>
    <hyperlink r:id="rId2" ref="J3"/>
    <hyperlink r:id="rId3" ref="J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102</v>
      </c>
      <c r="B1" s="1" t="s">
        <v>103</v>
      </c>
      <c r="C1" s="1" t="s">
        <v>105</v>
      </c>
      <c r="D1" s="1" t="s">
        <v>106</v>
      </c>
      <c r="E1" s="1" t="s">
        <v>108</v>
      </c>
    </row>
    <row r="2">
      <c r="A2" s="2" t="s">
        <v>111</v>
      </c>
      <c r="B2" s="2" t="s">
        <v>112</v>
      </c>
      <c r="C2" s="5" t="s">
        <v>113</v>
      </c>
      <c r="D2" s="2" t="s">
        <v>116</v>
      </c>
      <c r="E2" s="2" t="s">
        <v>117</v>
      </c>
    </row>
    <row r="3">
      <c r="A3" s="2" t="s">
        <v>107</v>
      </c>
      <c r="B3" s="2" t="s">
        <v>118</v>
      </c>
      <c r="C3" s="5" t="s">
        <v>115</v>
      </c>
      <c r="D3" s="2" t="s">
        <v>122</v>
      </c>
      <c r="E3" s="2" t="s">
        <v>123</v>
      </c>
    </row>
    <row r="4">
      <c r="A4" s="2" t="s">
        <v>124</v>
      </c>
      <c r="B4" s="2" t="s">
        <v>125</v>
      </c>
      <c r="C4" s="5" t="s">
        <v>126</v>
      </c>
      <c r="D4" s="2" t="s">
        <v>142</v>
      </c>
      <c r="E4" s="2" t="s">
        <v>144</v>
      </c>
    </row>
    <row r="5">
      <c r="A5" s="2" t="s">
        <v>146</v>
      </c>
      <c r="B5" s="2" t="s">
        <v>148</v>
      </c>
      <c r="C5" s="5" t="s">
        <v>149</v>
      </c>
      <c r="D5" s="2" t="s">
        <v>172</v>
      </c>
      <c r="E5" s="2" t="s">
        <v>173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127</v>
      </c>
      <c r="B1" s="1" t="s">
        <v>128</v>
      </c>
      <c r="C1" s="1" t="s">
        <v>10</v>
      </c>
      <c r="D1" s="1" t="s">
        <v>129</v>
      </c>
      <c r="E1" s="1" t="s">
        <v>130</v>
      </c>
    </row>
    <row r="2">
      <c r="A2" s="2" t="s">
        <v>131</v>
      </c>
      <c r="B2" s="2" t="s">
        <v>132</v>
      </c>
      <c r="C2" s="2" t="s">
        <v>53</v>
      </c>
      <c r="D2" s="2" t="s">
        <v>133</v>
      </c>
      <c r="E2" s="2" t="s">
        <v>134</v>
      </c>
    </row>
    <row r="3">
      <c r="A3" s="2" t="s">
        <v>135</v>
      </c>
      <c r="B3" s="2" t="s">
        <v>136</v>
      </c>
      <c r="C3" s="2" t="s">
        <v>137</v>
      </c>
      <c r="D3" s="2" t="s">
        <v>133</v>
      </c>
      <c r="E3" s="2" t="s">
        <v>138</v>
      </c>
    </row>
    <row r="4">
      <c r="A4" s="2" t="s">
        <v>139</v>
      </c>
      <c r="B4" s="2" t="s">
        <v>140</v>
      </c>
      <c r="C4" s="2" t="s">
        <v>36</v>
      </c>
      <c r="D4" s="2" t="s">
        <v>141</v>
      </c>
      <c r="E4" s="2" t="s">
        <v>143</v>
      </c>
    </row>
    <row r="5">
      <c r="A5" s="2" t="s">
        <v>145</v>
      </c>
      <c r="B5" s="2" t="s">
        <v>147</v>
      </c>
      <c r="C5" s="2" t="s">
        <v>36</v>
      </c>
      <c r="D5" s="2" t="s">
        <v>141</v>
      </c>
      <c r="E5" s="2" t="s">
        <v>150</v>
      </c>
    </row>
    <row r="6">
      <c r="A6" s="2" t="s">
        <v>151</v>
      </c>
      <c r="B6" s="2" t="s">
        <v>152</v>
      </c>
      <c r="C6" s="2" t="s">
        <v>36</v>
      </c>
      <c r="D6" s="2" t="s">
        <v>153</v>
      </c>
      <c r="E6" s="2" t="s">
        <v>154</v>
      </c>
    </row>
    <row r="7">
      <c r="A7" s="2" t="s">
        <v>155</v>
      </c>
      <c r="B7" s="2" t="s">
        <v>156</v>
      </c>
      <c r="C7" s="2" t="s">
        <v>157</v>
      </c>
      <c r="D7" s="2" t="s">
        <v>158</v>
      </c>
      <c r="E7" s="2" t="s">
        <v>160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174</v>
      </c>
      <c r="B1" s="1" t="s">
        <v>175</v>
      </c>
      <c r="C1" s="1" t="s">
        <v>176</v>
      </c>
      <c r="D1" s="1" t="s">
        <v>10</v>
      </c>
      <c r="E1" s="1" t="s">
        <v>129</v>
      </c>
    </row>
    <row r="2">
      <c r="A2" s="2" t="s">
        <v>177</v>
      </c>
      <c r="B2" s="2" t="s">
        <v>178</v>
      </c>
      <c r="C2" s="2" t="s">
        <v>179</v>
      </c>
      <c r="D2" s="2" t="s">
        <v>180</v>
      </c>
      <c r="E2" s="2" t="s">
        <v>133</v>
      </c>
    </row>
    <row r="3">
      <c r="A3" s="2" t="s">
        <v>181</v>
      </c>
      <c r="B3" s="2" t="s">
        <v>178</v>
      </c>
      <c r="C3" s="2" t="s">
        <v>182</v>
      </c>
      <c r="D3" s="2" t="s">
        <v>180</v>
      </c>
      <c r="E3" s="2" t="s">
        <v>133</v>
      </c>
    </row>
    <row r="4">
      <c r="A4" s="2" t="s">
        <v>100</v>
      </c>
      <c r="B4" s="2" t="s">
        <v>178</v>
      </c>
      <c r="C4" s="2" t="s">
        <v>183</v>
      </c>
      <c r="D4" s="2" t="s">
        <v>180</v>
      </c>
      <c r="E4" s="2" t="s">
        <v>133</v>
      </c>
    </row>
    <row r="5">
      <c r="A5" s="2" t="s">
        <v>184</v>
      </c>
      <c r="B5" s="2" t="s">
        <v>185</v>
      </c>
      <c r="C5" s="2" t="s">
        <v>186</v>
      </c>
      <c r="D5" s="2" t="s">
        <v>180</v>
      </c>
      <c r="E5" s="2" t="s">
        <v>187</v>
      </c>
    </row>
    <row r="6">
      <c r="A6" s="2" t="s">
        <v>188</v>
      </c>
      <c r="B6" s="2" t="s">
        <v>189</v>
      </c>
      <c r="C6" s="2" t="s">
        <v>190</v>
      </c>
      <c r="D6" s="2" t="s">
        <v>180</v>
      </c>
      <c r="E6" s="2" t="s">
        <v>191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192</v>
      </c>
      <c r="B1" s="1" t="s">
        <v>193</v>
      </c>
      <c r="C1" s="1" t="s">
        <v>1</v>
      </c>
      <c r="D1" s="1" t="s">
        <v>194</v>
      </c>
      <c r="E1" s="1" t="s">
        <v>195</v>
      </c>
      <c r="F1" s="1" t="s">
        <v>9</v>
      </c>
    </row>
    <row r="2">
      <c r="A2" s="2" t="s">
        <v>196</v>
      </c>
      <c r="B2" s="2" t="s">
        <v>197</v>
      </c>
      <c r="C2" s="2" t="s">
        <v>198</v>
      </c>
      <c r="D2" s="2" t="s">
        <v>53</v>
      </c>
      <c r="E2" s="2" t="s">
        <v>199</v>
      </c>
      <c r="F2" s="2" t="s">
        <v>31</v>
      </c>
    </row>
    <row r="3">
      <c r="A3" s="2" t="s">
        <v>200</v>
      </c>
      <c r="B3" s="2" t="s">
        <v>201</v>
      </c>
      <c r="C3" s="2" t="s">
        <v>202</v>
      </c>
      <c r="D3" s="2" t="s">
        <v>53</v>
      </c>
      <c r="E3" s="2" t="s">
        <v>199</v>
      </c>
      <c r="F3" s="2" t="s">
        <v>31</v>
      </c>
    </row>
    <row r="4">
      <c r="A4" s="2" t="s">
        <v>203</v>
      </c>
      <c r="B4" s="2" t="s">
        <v>204</v>
      </c>
      <c r="C4" s="2" t="s">
        <v>48</v>
      </c>
      <c r="D4" s="2" t="s">
        <v>53</v>
      </c>
      <c r="E4" s="2" t="s">
        <v>199</v>
      </c>
      <c r="F4" s="2" t="s">
        <v>31</v>
      </c>
    </row>
    <row r="5">
      <c r="A5" s="2" t="s">
        <v>205</v>
      </c>
      <c r="B5" s="2" t="s">
        <v>206</v>
      </c>
      <c r="C5" s="2" t="s">
        <v>104</v>
      </c>
      <c r="D5" s="2" t="s">
        <v>53</v>
      </c>
      <c r="E5" s="2" t="s">
        <v>199</v>
      </c>
      <c r="F5" s="2" t="s">
        <v>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207</v>
      </c>
      <c r="B1" s="1" t="s">
        <v>208</v>
      </c>
      <c r="C1" s="1" t="s">
        <v>209</v>
      </c>
      <c r="D1" s="1" t="s">
        <v>129</v>
      </c>
    </row>
    <row r="2">
      <c r="A2" s="2" t="s">
        <v>210</v>
      </c>
      <c r="B2" s="2" t="s">
        <v>211</v>
      </c>
      <c r="C2" s="2" t="s">
        <v>212</v>
      </c>
      <c r="D2" s="2" t="s">
        <v>133</v>
      </c>
    </row>
    <row r="3">
      <c r="A3" s="2" t="s">
        <v>213</v>
      </c>
      <c r="B3" s="2" t="s">
        <v>214</v>
      </c>
      <c r="C3" s="2" t="s">
        <v>215</v>
      </c>
      <c r="D3" s="2" t="s">
        <v>133</v>
      </c>
    </row>
    <row r="4">
      <c r="A4" s="2" t="s">
        <v>216</v>
      </c>
      <c r="B4" s="2" t="s">
        <v>217</v>
      </c>
      <c r="C4" s="2" t="s">
        <v>218</v>
      </c>
      <c r="D4" s="2" t="s">
        <v>133</v>
      </c>
    </row>
    <row r="5">
      <c r="A5" s="2" t="s">
        <v>219</v>
      </c>
      <c r="B5" s="2" t="s">
        <v>220</v>
      </c>
      <c r="C5" s="2" t="s">
        <v>157</v>
      </c>
      <c r="D5" s="2" t="s">
        <v>187</v>
      </c>
    </row>
    <row r="6">
      <c r="A6" s="2" t="s">
        <v>221</v>
      </c>
      <c r="B6" s="2" t="s">
        <v>222</v>
      </c>
      <c r="C6" s="2" t="s">
        <v>223</v>
      </c>
      <c r="D6" s="2" t="s">
        <v>133</v>
      </c>
    </row>
    <row r="7">
      <c r="A7" s="2" t="s">
        <v>224</v>
      </c>
      <c r="B7" s="2" t="s">
        <v>225</v>
      </c>
      <c r="C7" s="2" t="s">
        <v>226</v>
      </c>
      <c r="D7" s="2" t="s">
        <v>227</v>
      </c>
    </row>
  </sheetData>
  <drawing r:id="rId1"/>
</worksheet>
</file>